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_Hướng dẫn" sheetId="1" state="visible" r:id="rId1"/>
    <sheet xmlns:r="http://schemas.openxmlformats.org/officeDocument/2006/relationships" name="0_Đầu vào" sheetId="2" state="visible" r:id="rId2"/>
    <sheet xmlns:r="http://schemas.openxmlformats.org/officeDocument/2006/relationships" name="1_Danh sách việc" sheetId="3" state="visible" r:id="rId3"/>
    <sheet xmlns:r="http://schemas.openxmlformats.org/officeDocument/2006/relationships" name="2_Mức tự động" sheetId="4" state="visible" r:id="rId4"/>
    <sheet xmlns:r="http://schemas.openxmlformats.org/officeDocument/2006/relationships" name="3_Bảng lộ trình" sheetId="5" state="visible" r:id="rId5"/>
    <sheet xmlns:r="http://schemas.openxmlformats.org/officeDocument/2006/relationships" name="4_Rà soát" sheetId="6" state="visible" r:id="rId6"/>
    <sheet xmlns:r="http://schemas.openxmlformats.org/officeDocument/2006/relationships" name="5_Slide lãnh đạo" sheetId="7" state="visible" r:id="rId7"/>
    <sheet xmlns:r="http://schemas.openxmlformats.org/officeDocument/2006/relationships" name="6_Tự kiểm tra" sheetId="8" state="visible" r:id="rId8"/>
    <sheet xmlns:r="http://schemas.openxmlformats.org/officeDocument/2006/relationships" name="7_Thang điểm" sheetId="9" state="visible" r:id="rId9"/>
  </sheets>
  <definedNames/>
  <calcPr calcId="124519" calcMode="auto" fullCalcOnLoad="1" refMode="A1" iterate="0" iterateCount="100" iterateDelta="0.0001" forceFullCalc="1"/>
</workbook>
</file>

<file path=xl/styles.xml><?xml version="1.0" encoding="utf-8"?>
<styleSheet xmlns="http://schemas.openxmlformats.org/spreadsheetml/2006/main">
  <numFmts count="2">
    <numFmt numFmtId="164" formatCode="#,##0;[RED]\-#,##0"/>
    <numFmt numFmtId="165" formatCode="0.0"/>
  </numFmts>
  <fonts count="11">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i val="1"/>
      <color rgb="FF595959"/>
      <sz val="11"/>
    </font>
    <font>
      <name val="Cambria"/>
      <charset val="1"/>
      <family val="0"/>
      <b val="1"/>
      <color rgb="FFFFFFFF"/>
      <sz val="11"/>
    </font>
    <font>
      <name val="Cambria"/>
      <charset val="1"/>
      <family val="0"/>
      <b val="1"/>
      <sz val="11"/>
    </font>
    <font>
      <name val="Calibri"/>
      <charset val="1"/>
      <family val="0"/>
      <sz val="11"/>
    </font>
    <font>
      <name val="Calibri"/>
      <charset val="1"/>
      <family val="0"/>
      <i val="1"/>
      <color rgb="FF595959"/>
      <sz val="10"/>
    </font>
    <font>
      <name val="Cambria"/>
      <charset val="1"/>
      <family val="0"/>
      <b val="1"/>
      <sz val="12"/>
    </font>
  </fonts>
  <fills count="5">
    <fill>
      <patternFill/>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6"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7" fillId="0" borderId="0" applyAlignment="1" pivotButton="0" quotePrefix="0" xfId="0">
      <alignment horizontal="general" vertical="bottom"/>
    </xf>
    <xf numFmtId="0" fontId="6" fillId="4" borderId="0" applyAlignment="1" pivotButton="0" quotePrefix="0" xfId="0">
      <alignment horizontal="general" vertical="center" wrapText="1"/>
    </xf>
    <xf numFmtId="0" fontId="0" fillId="0" borderId="1" applyAlignment="1" pivotButton="0" quotePrefix="0" xfId="0">
      <alignment horizontal="general" vertical="bottom"/>
    </xf>
    <xf numFmtId="0" fontId="0" fillId="3" borderId="1" applyAlignment="1" pivotButton="0" quotePrefix="0" xfId="0">
      <alignment horizontal="general" vertical="top" wrapText="1"/>
    </xf>
    <xf numFmtId="0" fontId="0" fillId="3" borderId="1" applyAlignment="1" pivotButton="0" quotePrefix="0" xfId="0">
      <alignment horizontal="center" vertical="bottom"/>
    </xf>
    <xf numFmtId="0" fontId="8" fillId="2" borderId="0" applyAlignment="1" applyProtection="1" pivotButton="0" quotePrefix="0" xfId="0">
      <alignment horizontal="general" vertical="bottom"/>
      <protection locked="0" hidden="0"/>
    </xf>
    <xf numFmtId="9" fontId="8" fillId="2" borderId="0" applyAlignment="1" applyProtection="1" pivotButton="0" quotePrefix="0" xfId="0">
      <alignment horizontal="general" vertical="bottom"/>
      <protection locked="0" hidden="0"/>
    </xf>
    <xf numFmtId="164" fontId="8" fillId="3" borderId="0" applyAlignment="1" pivotButton="0" quotePrefix="0" xfId="0">
      <alignment horizontal="general" vertical="bottom"/>
    </xf>
    <xf numFmtId="9" fontId="8" fillId="3" borderId="0" applyAlignment="1" pivotButton="0" quotePrefix="0" xfId="0">
      <alignment horizontal="general" vertical="bottom"/>
    </xf>
    <xf numFmtId="0" fontId="8" fillId="3" borderId="0" applyAlignment="1" pivotButton="0" quotePrefix="0" xfId="0">
      <alignment horizontal="general" vertical="bottom"/>
    </xf>
    <xf numFmtId="0" fontId="8" fillId="0" borderId="0" applyAlignment="1" pivotButton="0" quotePrefix="0" xfId="0">
      <alignment horizontal="general" vertical="bottom"/>
    </xf>
    <xf numFmtId="164" fontId="8" fillId="2" borderId="0" applyAlignment="1" applyProtection="1" pivotButton="0" quotePrefix="0" xfId="0">
      <alignment horizontal="general" vertical="bottom"/>
      <protection locked="0" hidden="0"/>
    </xf>
    <xf numFmtId="0" fontId="9" fillId="0" borderId="0" applyAlignment="1" pivotButton="0" quotePrefix="0" xfId="0">
      <alignment horizontal="general" vertical="bottom"/>
    </xf>
    <xf numFmtId="165" fontId="8" fillId="2" borderId="0" applyAlignment="1" applyProtection="1" pivotButton="0" quotePrefix="0" xfId="0">
      <alignment horizontal="general" vertical="bottom"/>
      <protection locked="0" hidden="0"/>
    </xf>
    <xf numFmtId="1" fontId="8" fillId="2" borderId="0" applyAlignment="1" applyProtection="1" pivotButton="0" quotePrefix="0" xfId="0">
      <alignment horizontal="general" vertical="bottom"/>
      <protection locked="0" hidden="0"/>
    </xf>
    <xf numFmtId="0" fontId="7" fillId="0" borderId="1" applyAlignment="1" pivotButton="0" quotePrefix="0" xfId="0">
      <alignment horizontal="general" vertical="top" wrapText="1"/>
    </xf>
    <xf numFmtId="0" fontId="7" fillId="0" borderId="1" applyAlignment="1" pivotButton="0" quotePrefix="0" xfId="0">
      <alignment horizontal="general" vertical="bottom"/>
    </xf>
    <xf numFmtId="1" fontId="8" fillId="3" borderId="0" applyAlignment="1" pivotButton="0" quotePrefix="0" xfId="0">
      <alignment horizontal="general" vertical="bottom"/>
    </xf>
    <xf numFmtId="0" fontId="0" fillId="0" borderId="0" applyAlignment="1" pivotButton="0" quotePrefix="0" xfId="0">
      <alignment horizontal="general" vertical="top" wrapText="1"/>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6"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7" fillId="0" borderId="0" applyAlignment="1" pivotButton="0" quotePrefix="0" xfId="0">
      <alignment horizontal="general" vertical="bottom"/>
    </xf>
    <xf numFmtId="0" fontId="6" fillId="4" borderId="0" applyAlignment="1" pivotButton="0" quotePrefix="0" xfId="0">
      <alignment horizontal="general" vertical="center" wrapText="1"/>
    </xf>
    <xf numFmtId="0" fontId="0" fillId="0" borderId="1" applyAlignment="1" pivotButton="0" quotePrefix="0" xfId="0">
      <alignment horizontal="general" vertical="bottom"/>
    </xf>
    <xf numFmtId="0" fontId="0" fillId="3" borderId="1" applyAlignment="1" pivotButton="0" quotePrefix="0" xfId="0">
      <alignment horizontal="general" vertical="top" wrapText="1"/>
    </xf>
    <xf numFmtId="0" fontId="0" fillId="3" borderId="1" applyAlignment="1" pivotButton="0" quotePrefix="0" xfId="0">
      <alignment horizontal="center" vertical="bottom"/>
    </xf>
    <xf numFmtId="0" fontId="8" fillId="2" borderId="0" applyAlignment="1" applyProtection="1" pivotButton="0" quotePrefix="0" xfId="0">
      <alignment horizontal="general" vertical="bottom"/>
      <protection locked="0" hidden="0"/>
    </xf>
    <xf numFmtId="9" fontId="8" fillId="2" borderId="0" applyAlignment="1" applyProtection="1" pivotButton="0" quotePrefix="0" xfId="0">
      <alignment horizontal="general" vertical="bottom"/>
      <protection locked="0" hidden="0"/>
    </xf>
    <xf numFmtId="164" fontId="8" fillId="3" borderId="0" applyAlignment="1" pivotButton="0" quotePrefix="0" xfId="0">
      <alignment horizontal="general" vertical="bottom"/>
    </xf>
    <xf numFmtId="9" fontId="8" fillId="3" borderId="0" applyAlignment="1" pivotButton="0" quotePrefix="0" xfId="0">
      <alignment horizontal="general" vertical="bottom"/>
    </xf>
    <xf numFmtId="0" fontId="8" fillId="3" borderId="0" applyAlignment="1" pivotButton="0" quotePrefix="0" xfId="0">
      <alignment horizontal="general" vertical="bottom"/>
    </xf>
    <xf numFmtId="0" fontId="8" fillId="0" borderId="0" applyAlignment="1" pivotButton="0" quotePrefix="0" xfId="0">
      <alignment horizontal="general" vertical="bottom"/>
    </xf>
    <xf numFmtId="164" fontId="8" fillId="2" borderId="0" applyAlignment="1" applyProtection="1" pivotButton="0" quotePrefix="0" xfId="0">
      <alignment horizontal="general" vertical="bottom"/>
      <protection locked="0" hidden="0"/>
    </xf>
    <xf numFmtId="0" fontId="9" fillId="0" borderId="0" applyAlignment="1" pivotButton="0" quotePrefix="0" xfId="0">
      <alignment horizontal="general" vertical="bottom"/>
    </xf>
    <xf numFmtId="165" fontId="8" fillId="2" borderId="0" applyAlignment="1" applyProtection="1" pivotButton="0" quotePrefix="0" xfId="0">
      <alignment horizontal="general" vertical="bottom"/>
      <protection locked="0" hidden="0"/>
    </xf>
    <xf numFmtId="1" fontId="8" fillId="2" borderId="0" applyAlignment="1" applyProtection="1" pivotButton="0" quotePrefix="0" xfId="0">
      <alignment horizontal="general" vertical="bottom"/>
      <protection locked="0" hidden="0"/>
    </xf>
    <xf numFmtId="0" fontId="7" fillId="0" borderId="1" applyAlignment="1" pivotButton="0" quotePrefix="0" xfId="0">
      <alignment horizontal="general" vertical="top" wrapText="1"/>
    </xf>
    <xf numFmtId="0" fontId="7" fillId="0" borderId="1" applyAlignment="1" pivotButton="0" quotePrefix="0" xfId="0">
      <alignment horizontal="general" vertical="bottom"/>
    </xf>
    <xf numFmtId="1" fontId="8" fillId="3" borderId="0" applyAlignment="1" pivotButton="0" quotePrefix="0" xfId="0">
      <alignment horizontal="general" vertical="bottom"/>
    </xf>
    <xf numFmtId="0" fontId="0" fillId="0" borderId="0" applyAlignment="1" pivotButton="0" quotePrefix="0" xfId="0">
      <alignment horizontal="general" vertical="top" wrapText="1"/>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32" min="1" max="1"/>
  </cols>
  <sheetData>
    <row r="1" ht="17.25" customHeight="1" s="33">
      <c r="A1" s="34" t="inlineStr">
        <is>
          <t>CS13 · Lộ trình sản phẩm AI — File thực hành · Đề 1 · SổSạch</t>
        </is>
      </c>
    </row>
    <row r="2" ht="15" customHeight="1" s="33">
      <c r="A2" s="35" t="inlineStr">
        <is>
          <t>AI in Action · Track 1 · Khóa 4. FILE LÀM BÀI CỦA NHÓM · Đề 1 · SổSạch. Dữ liệu của đề nằm trong file CS13_HoSoTinhHuong.pdf; file CS13_Roadmap_Mau.xlsx là bản mẫu đã điền (một sản phẩm khác) để xem cách điền.</t>
        </is>
      </c>
    </row>
    <row r="4" ht="15" customHeight="1" s="33">
      <c r="A4" s="32" t="inlineStr">
        <is>
          <t>Luật chơi: CHỈ điền vào ô màu VÀNG. Ô màu XANH là công thức và đã được khóa. Bắt đầu bằng trang 0_Đầu vào (Nhiệm vụ 0: đọc hồ sơ tình huống).</t>
        </is>
      </c>
    </row>
    <row r="5" ht="15" customHeight="1" s="33">
      <c r="A5" s="32" t="inlineStr">
        <is>
          <t>Thứ tự làm: 0 Đọc hồ sơ → 1 Danh sách việc → 2 Mức tự động → 3 Bảng lộ trình → 4 Rà soát → 6 Tự kiểm tra. Trang 5 (slide lãnh đạo) làm ở nhà.</t>
        </is>
      </c>
    </row>
    <row r="6" ht="15" customHeight="1" s="33">
      <c r="A6" s="32" t="inlineStr">
        <is>
          <t>Số liệu kinh tế của đề đã điền sẵn ở trang 2, dòng 12–20. Không cần file của buổi nào khác: mọi dữ liệu cần dùng nằm trong hồ sơ tình huống, Đề 1.</t>
        </is>
      </c>
    </row>
    <row r="7" ht="15" customHeight="1" s="33">
      <c r="A7" s="32" t="inlineStr">
        <is>
          <t>Lộ trình theo GIẢ THUYẾT: mỗi hạng mục phải trả lời 'Ta tin rằng làm X sẽ giúp Y đạt Z; biết đúng khi chỉ số W đạt ngưỡng V'.</t>
        </is>
      </c>
    </row>
    <row r="8" ht="15" customHeight="1" s="33">
      <c r="A8" s="32" t="inlineStr">
        <is>
          <t>Tên file nộp: [Nhom]_CS13.xlsx · Nộp bản có Nhiệm vụ 1–4 lên VLearn trước 18:00 ngày 16/10. Trang 5 (Nhiệm vụ 5, làm ở nhà) nộp trước 23:59 ngày 19/10.</t>
        </is>
      </c>
    </row>
    <row r="9" ht="15" customHeight="1" s="33">
      <c r="A9" s="32" t="inlineStr">
        <is>
          <t>Tuân thủ: Luật Trí tuệ nhân tạo số 134/2025/QH15 (hiệu lực 01/3/2026) chia hệ thống AI thành 3 mức rủi ro và yêu cầu người dùng được thông tin khi tương tác với AI. Đọc văn bản gốc trước khi ghi vào bài.</t>
        </is>
      </c>
    </row>
    <row r="11" ht="15" customHeight="1" s="33">
      <c r="A11" s="32" t="inlineStr">
        <is>
          <t>Chú thích màu:</t>
        </is>
      </c>
    </row>
    <row r="12" ht="15" customHeight="1" s="33">
      <c r="A12" s="36" t="inlineStr">
        <is>
          <t>Ô điền giả định (không khóa)</t>
        </is>
      </c>
    </row>
    <row r="13" ht="15" customHeight="1" s="33">
      <c r="A13" s="37" t="inlineStr">
        <is>
          <t>Ô công thức (tự tính, đã khóa)</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32" min="1" max="1"/>
    <col width="14" customWidth="1" style="32" min="2" max="2"/>
    <col width="46" customWidth="1" style="32" min="3" max="4"/>
    <col width="36" customWidth="1" style="32" min="5" max="5"/>
  </cols>
  <sheetData>
    <row r="1" ht="17.25" customHeight="1" s="33">
      <c r="A1" s="34" t="inlineStr">
        <is>
          <t>0 · Nhiệm vụ 0: đọc hồ sơ tình huống, Đề 1 (5 phút)</t>
        </is>
      </c>
    </row>
    <row r="2" ht="15" customHeight="1" s="33">
      <c r="A2" s="35" t="inlineStr">
        <is>
          <t>Cả nhóm đọc cùng một hồ sơ trước khi điền. Nhiệm vụ 0 không tính điểm; đánh dấu "Có" khi cả nhóm đã đọc mục đó.</t>
        </is>
      </c>
    </row>
    <row r="4" ht="26.25" customHeight="1" s="33">
      <c r="A4" s="38" t="inlineStr">
        <is>
          <t>Mục trong hồ sơ tình huống</t>
        </is>
      </c>
      <c r="B4" s="38" t="inlineStr">
        <is>
          <t>Nhóm đã đọc chưa?</t>
        </is>
      </c>
      <c r="C4" s="38" t="inlineStr">
        <is>
          <t>Dùng ở đâu trong file</t>
        </is>
      </c>
      <c r="D4" s="38" t="inlineStr">
        <is>
          <t>Lưu ý</t>
        </is>
      </c>
      <c r="E4" s="38" t="inlineStr">
        <is>
          <t>Ghi chú của nhóm</t>
        </is>
      </c>
    </row>
    <row r="5" ht="33.75" customHeight="1" s="33">
      <c r="A5" s="39" t="inlineStr">
        <is>
          <t>Số liệu kinh tế của đề (9 dòng)</t>
        </is>
      </c>
      <c r="B5" s="40" t="inlineStr">
        <is>
          <t>Có</t>
        </is>
      </c>
      <c r="C5" s="39" t="inlineStr">
        <is>
          <t>Đã điền sẵn ở trang 2, dòng 12–20: chi phí mỗi việc, biên lợi nhuận, điều kiện dừng</t>
        </is>
      </c>
      <c r="D5" s="39" t="inlineStr">
        <is>
          <t>Đọc để hiểu; không cần chép</t>
        </is>
      </c>
      <c r="E5" s="40" t="n"/>
    </row>
    <row r="6" ht="33.75" customHeight="1" s="33">
      <c r="A6" s="39" t="inlineStr">
        <is>
          <t>Bối cảnh, sản phẩm, "1 việc" là gì</t>
        </is>
      </c>
      <c r="B6" s="40" t="inlineStr">
        <is>
          <t>Có</t>
        </is>
      </c>
      <c r="C6" s="39" t="inlineStr">
        <is>
          <t>Giả thuyết và chỉ số ở trang 1</t>
        </is>
      </c>
      <c r="D6" s="39" t="inlineStr">
        <is>
          <t>Viết giả thuyết theo đúng "1 việc" của đề</t>
        </is>
      </c>
      <c r="E6" s="40" t="n"/>
    </row>
    <row r="7" ht="33.75" customHeight="1" s="33">
      <c r="A7" s="39" t="inlineStr">
        <is>
          <t>6 việc gợi ý</t>
        </is>
      </c>
      <c r="B7" s="40" t="inlineStr">
        <is>
          <t>Có</t>
        </is>
      </c>
      <c r="C7" s="39" t="inlineStr">
        <is>
          <t>Trang 1, cột B–C; nhóm được thêm việc của mình</t>
        </is>
      </c>
      <c r="D7" s="39" t="inlineStr">
        <is>
          <t>Giữ, bỏ hay đổi thứ tự đều phải ghi lý do ở cột Q</t>
        </is>
      </c>
      <c r="E7" s="40" t="n"/>
    </row>
    <row r="8" ht="33.75" customHeight="1" s="33">
      <c r="A8" s="39" t="inlineStr">
        <is>
          <t>Kết quả đánh giá đã có (bộ đề, cổng phát hành)</t>
        </is>
      </c>
      <c r="B8" s="40" t="inlineStr">
        <is>
          <t>Có</t>
        </is>
      </c>
      <c r="C8" s="39" t="inlineStr">
        <is>
          <t>Cổng đánh giá ở trang 2; việc cần làm trước ở trang 3</t>
        </is>
      </c>
      <c r="D8" s="39" t="inlineStr">
        <is>
          <t>Đề 2, 3: kết luận chưa phải "Phát hành" → có việc phải làm trước</t>
        </is>
      </c>
      <c r="E8" s="40" t="n"/>
    </row>
    <row r="9" ht="33.75" customHeight="1" s="33">
      <c r="A9" s="39" t="inlineStr">
        <is>
          <t>Chuyên gia và số giờ của họ</t>
        </is>
      </c>
      <c r="B9" s="40" t="inlineStr">
        <is>
          <t>Có</t>
        </is>
      </c>
      <c r="C9" s="39" t="inlineStr">
        <is>
          <t>Dòng "Điều kiện cần" ở trang 3; ô "Cần gì" ở trang 5</t>
        </is>
      </c>
      <c r="D9" s="39" t="inlineStr">
        <is>
          <t>Dẫn đúng số giờ trong hồ sơ</t>
        </is>
      </c>
      <c r="E9" s="40" t="n"/>
    </row>
    <row r="10" ht="33.75" customHeight="1" s="33">
      <c r="A10" s="39" t="inlineStr">
        <is>
          <t>Gợi ý về người duyệt và mức tự động</t>
        </is>
      </c>
      <c r="B10" s="40" t="inlineStr">
        <is>
          <t>Có</t>
        </is>
      </c>
      <c r="C10" s="39" t="inlineStr">
        <is>
          <t>Trang 2, cột H và I</t>
        </is>
      </c>
      <c r="D10" s="39" t="inlineStr">
        <is>
          <t>Đề 3: bác sĩ của bệnh viện không tính vào chi phí</t>
        </is>
      </c>
      <c r="E10" s="40" t="n"/>
    </row>
    <row r="12" ht="15" customHeight="1" s="33">
      <c r="A12" s="41" t="inlineStr">
        <is>
          <t>Số mục nhóm đã đọc</t>
        </is>
      </c>
      <c r="B12" s="37">
        <f>COUNTIF(B5:B10,"Có")</f>
        <v/>
      </c>
    </row>
    <row r="13" ht="15" customHeight="1" s="33">
      <c r="A13" s="35" t="inlineStr">
        <is>
          <t>Đủ 6/6 thì sang Nhiệm vụ 1.</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B5:B10" showDropDown="0" showInputMessage="0" showErrorMessage="0" allowBlank="1" type="list" errorStyle="stop" operator="between">
      <formula1>"Có,Chưa"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Q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32" min="1" max="1"/>
    <col width="30" customWidth="1" style="32" min="2" max="2"/>
    <col width="28" customWidth="1" style="32" min="3" max="3"/>
    <col width="38" customWidth="1" style="32" min="4" max="4"/>
    <col width="32" customWidth="1" style="32" min="5" max="5"/>
    <col width="8" customWidth="1" style="32" min="6" max="7"/>
    <col width="11" customWidth="1" style="32" min="8" max="8"/>
    <col width="8" customWidth="1" style="32" min="9" max="9"/>
    <col width="11" customWidth="1" style="32" min="10" max="10"/>
    <col width="10" customWidth="1" style="32" min="11" max="11"/>
    <col width="13" customWidth="1" style="32" min="12" max="12"/>
    <col width="10" customWidth="1" style="32" min="13" max="14"/>
    <col width="12" customWidth="1" style="32" min="15" max="15"/>
    <col width="14" customWidth="1" style="32" min="16" max="16"/>
    <col width="58" customWidth="1" style="32" min="17" max="17"/>
  </cols>
  <sheetData>
    <row r="1" ht="17.25" customHeight="1" s="33">
      <c r="A1" s="34" t="inlineStr">
        <is>
          <t>1 · Danh sách việc và chấm điểm ưu tiên</t>
        </is>
      </c>
    </row>
    <row r="2" ht="15" customHeight="1" s="33">
      <c r="A2" s="35" t="inlineStr">
        <is>
          <t>Điểm = Độ phủ × Tác động × Mức tự tin ÷ Công sức × (0,5 + 0,5 × sẵn sàng trung bình của dữ liệu và đánh giá) × (1 − 0,5 × rủi ro bị 'nuốt')</t>
        </is>
      </c>
    </row>
    <row r="4" ht="39" customHeight="1" s="33">
      <c r="A4" s="42" t="inlineStr">
        <is>
          <t>STT</t>
        </is>
      </c>
      <c r="B4" s="42" t="inlineStr">
        <is>
          <t>Việc</t>
        </is>
      </c>
      <c r="C4" s="42" t="inlineStr">
        <is>
          <t>Kết quả muốn đạt</t>
        </is>
      </c>
      <c r="D4" s="42" t="inlineStr">
        <is>
          <t>Giả thuyết (Ta tin rằng…)</t>
        </is>
      </c>
      <c r="E4" s="42" t="inlineStr">
        <is>
          <t>Chỉ số thành công và ngưỡng</t>
        </is>
      </c>
      <c r="F4" s="42" t="inlineStr">
        <is>
          <t>Độ phủ 1–5</t>
        </is>
      </c>
      <c r="G4" s="42" t="inlineStr">
        <is>
          <t>Tác động 1–5</t>
        </is>
      </c>
      <c r="H4" s="42" t="inlineStr">
        <is>
          <t>Mức tự tin 0,5 / 0,8 / 1</t>
        </is>
      </c>
      <c r="I4" s="42" t="inlineStr">
        <is>
          <t>Công sức 1–5</t>
        </is>
      </c>
      <c r="J4" s="42" t="inlineStr">
        <is>
          <t>Sẵn sàng dữ liệu 0–1</t>
        </is>
      </c>
      <c r="K4" s="42" t="inlineStr">
        <is>
          <t>Sẵn sàng đánh giá 0–1</t>
        </is>
      </c>
      <c r="L4" s="42" t="inlineStr">
        <is>
          <t>Rủi ro bị nuốt 0–1</t>
        </is>
      </c>
      <c r="M4" s="42" t="inlineStr">
        <is>
          <t>ĐIỂM</t>
        </is>
      </c>
      <c r="N4" s="42" t="inlineStr">
        <is>
          <t>Xếp hạng</t>
        </is>
      </c>
      <c r="O4" s="42" t="inlineStr">
        <is>
          <t>Chỉ số có con số?</t>
        </is>
      </c>
      <c r="P4" s="42" t="inlineStr">
        <is>
          <t>Tự làm / Mua / Chờ / Không làm</t>
        </is>
      </c>
      <c r="Q4" s="42" t="inlineStr">
        <is>
          <t>Lý do (đổi thứ tự, chọn mua hay chờ…)</t>
        </is>
      </c>
    </row>
    <row r="5" ht="34.5" customHeight="1" s="33">
      <c r="A5" s="43" t="n">
        <v>1</v>
      </c>
      <c r="B5" s="40" t="inlineStr">
        <is>
          <t>Đọc ảnh hóa đơn giấy / ảnh chụp</t>
        </is>
      </c>
      <c r="C5" s="40" t="inlineStr">
        <is>
          <t>Giảm 50% giờ nhập hóa đơn ảnh</t>
        </is>
      </c>
      <c r="D5" s="40" t="inlineStr">
        <is>
          <t>Ta tin rằng OCR ảnh theo hai bước, kèm kiểm tra trường trọng yếu, sẽ giảm thời gian nhập hóa đơn giấy cho kế toán viên.</t>
        </is>
      </c>
      <c r="E5" s="40" t="inlineStr">
        <is>
          <t>Giờ nhập trung vị giảm ≥50% trên 100 hóa đơn ảnh từ ≥10 DN; lỗi MST/tiền = 0.</t>
        </is>
      </c>
      <c r="F5" s="40" t="n">
        <v>4</v>
      </c>
      <c r="G5" s="40" t="n">
        <v>4</v>
      </c>
      <c r="H5" s="40" t="n">
        <v>0.8</v>
      </c>
      <c r="I5" s="40" t="n">
        <v>4</v>
      </c>
      <c r="J5" s="40" t="n">
        <v>0.5</v>
      </c>
      <c r="K5" s="40" t="n">
        <v>0.7</v>
      </c>
      <c r="L5" s="40" t="n">
        <v>0.6</v>
      </c>
      <c r="M5" s="44">
        <f>IF(COUNT(F5:L5)&lt;7,"",ROUND(F5*G5*H5/I5*(0.5+0.5*AVERAGE(J5:K5))*(1-0.5*L5),2))</f>
        <v/>
      </c>
      <c r="N5" s="44">
        <f>IF(M5="","",RANK(M5,$M$5:$M$14))</f>
        <v/>
      </c>
      <c r="O5" s="45">
        <f>IF(B5="","",IF(OR(D5="",E5=""),"Thiếu",IF(SUMPRODUCT(--ISNUMBER(SEARCH({"0","1","2","3","4","5","6","7","8","9"},E5)))&gt;0,"Có","Thiếu")))</f>
        <v/>
      </c>
      <c r="P5" s="46" t="inlineStr">
        <is>
          <t>Chờ</t>
        </is>
      </c>
      <c r="Q5" s="46" t="inlineStr">
        <is>
          <t>Ảnh chụp và chất lượng đầu vào cần đo riêng; quay lại sau khi có bộ ảnh đủ 100 ca và cách đo thời gian thống nhất.</t>
        </is>
      </c>
    </row>
    <row r="6" ht="23.25" customHeight="1" s="33">
      <c r="A6" s="43" t="n">
        <v>2</v>
      </c>
      <c r="B6" s="40" t="inlineStr">
        <is>
          <t>Gắn cờ hóa đơn cần người xem</t>
        </is>
      </c>
      <c r="C6" s="40" t="inlineStr">
        <is>
          <t>Kế toán chỉ xem khoảng 20% hóa đơn</t>
        </is>
      </c>
      <c r="D6" s="40" t="inlineStr">
        <is>
          <t>Ta tin rằng điểm tin cậy và đối chiếu dữ liệu sẽ đưa đúng hóa đơn rủi ro đến người xem, để kế toán chỉ cần xem khoảng 20%.</t>
        </is>
      </c>
      <c r="E6" s="40" t="inlineStr">
        <is>
          <t>Tỷ lệ cần xem ≤20%; bắt đủ 100% lỗi trọng yếu trên 60 ca lỗi cài sẵn và 60 hóa đơn thật.</t>
        </is>
      </c>
      <c r="F6" s="40" t="n">
        <v>5</v>
      </c>
      <c r="G6" s="40" t="n">
        <v>5</v>
      </c>
      <c r="H6" s="40" t="n">
        <v>0.8</v>
      </c>
      <c r="I6" s="40" t="n">
        <v>3</v>
      </c>
      <c r="J6" s="40" t="n">
        <v>0.6</v>
      </c>
      <c r="K6" s="40" t="n">
        <v>0.85</v>
      </c>
      <c r="L6" s="40" t="n">
        <v>0.45</v>
      </c>
      <c r="M6" s="44">
        <f>IF(COUNT(F6:L6)&lt;7,"",ROUND(F6*G6*H6/I6*(0.5+0.5*AVERAGE(J6:K6))*(1-0.5*L6),2))</f>
        <v/>
      </c>
      <c r="N6" s="44">
        <f>IF(M6="","",RANK(M6,$M$5:$M$14))</f>
        <v/>
      </c>
      <c r="O6" s="45">
        <f>IF(B6="","",IF(OR(D6="",E6=""),"Thiếu",IF(SUMPRODUCT(--ISNUMBER(SEARCH({"0","1","2","3","4","5","6","7","8","9"},E6)))&gt;0,"Có","Thiếu")))</f>
        <v/>
      </c>
      <c r="P6" s="46" t="inlineStr">
        <is>
          <t>Tự làm</t>
        </is>
      </c>
      <c r="Q6" s="46" t="inlineStr">
        <is>
          <t>Nằm trong luồng SổSạch; bắt đầu với cờ rủi ro, đo bỏ sót và cờ thừa trước khi giảm tỷ lệ duyệt.</t>
        </is>
      </c>
    </row>
    <row r="7" ht="23.25" customHeight="1" s="33">
      <c r="A7" s="43" t="n">
        <v>3</v>
      </c>
      <c r="B7" s="40" t="inlineStr">
        <is>
          <t>Nhập tự động hóa đơn điện tử (tệp gốc)</t>
        </is>
      </c>
      <c r="C7" s="40" t="inlineStr">
        <is>
          <t>Giảm 70% thời gian nhập hóa đơn điện tử</t>
        </is>
      </c>
      <c r="D7" s="40" t="inlineStr">
        <is>
          <t>Ta tin rằng tích hợp tính năng nhập tệp gốc sẵn có sẽ giảm thao tác nhập mà vẫn giữ chính xác các trường hóa đơn.</t>
        </is>
      </c>
      <c r="E7" s="40" t="inlineStr">
        <is>
          <t>Thời gian nhập trung vị giảm ≥70% trên 100 hóa đơn từ ≥10 DN; lỗi MST/tiền = 0.</t>
        </is>
      </c>
      <c r="F7" s="40" t="n">
        <v>5</v>
      </c>
      <c r="G7" s="40" t="n">
        <v>5</v>
      </c>
      <c r="H7" s="40" t="n">
        <v>0.8</v>
      </c>
      <c r="I7" s="40" t="n">
        <v>2</v>
      </c>
      <c r="J7" s="40" t="n">
        <v>0.8</v>
      </c>
      <c r="K7" s="40" t="n">
        <v>0.9</v>
      </c>
      <c r="L7" s="40" t="n">
        <v>0.7</v>
      </c>
      <c r="M7" s="44">
        <f>IF(COUNT(F7:L7)&lt;7,"",ROUND(F7*G7*H7/I7*(0.5+0.5*AVERAGE(J7:K7))*(1-0.5*L7),2))</f>
        <v/>
      </c>
      <c r="N7" s="44">
        <f>IF(M7="","",RANK(M7,$M$5:$M$14))</f>
        <v/>
      </c>
      <c r="O7" s="45">
        <f>IF(B7="","",IF(OR(D7="",E7=""),"Thiếu",IF(SUMPRODUCT(--ISNUMBER(SEARCH({"0","1","2","3","4","5","6","7","8","9"},E7)))&gt;0,"Có","Thiếu")))</f>
        <v/>
      </c>
      <c r="P7" s="46" t="inlineStr">
        <is>
          <t>Mua</t>
        </is>
      </c>
      <c r="Q7" s="46" t="inlineStr">
        <is>
          <t>Phần mềm kế toán đang có nhập hóa đơn điện tử từ tệp gốc; ưu tiên tích hợp tính năng sẵn có thay vì xây lại.</t>
        </is>
      </c>
    </row>
    <row r="8" ht="23.25" customHeight="1" s="33">
      <c r="A8" s="43" t="n">
        <v>4</v>
      </c>
      <c r="B8" s="40" t="inlineStr">
        <is>
          <t>Đối chiếu mã số thuế người bán</t>
        </is>
      </c>
      <c r="C8" s="40" t="inlineStr">
        <is>
          <t>Không nhập nhầm người bán</t>
        </is>
      </c>
      <c r="D8" s="40" t="inlineStr">
        <is>
          <t>Ta tin rằng tra cứu MST và đối chiếu tên pháp lý sẽ ngăn hóa đơn gắn nhầm người bán trước khi ghi sổ.</t>
        </is>
      </c>
      <c r="E8" s="40" t="inlineStr">
        <is>
          <t>MST khớp nguồn tra cứu 100% trên ≥100 hóa đơn; 0 trường hợp ghi sai người bán.</t>
        </is>
      </c>
      <c r="F8" s="40" t="n">
        <v>5</v>
      </c>
      <c r="G8" s="40" t="n">
        <v>5</v>
      </c>
      <c r="H8" s="40" t="n">
        <v>0.8</v>
      </c>
      <c r="I8" s="40" t="n">
        <v>2</v>
      </c>
      <c r="J8" s="40" t="n">
        <v>0.9</v>
      </c>
      <c r="K8" s="40" t="n">
        <v>1</v>
      </c>
      <c r="L8" s="40" t="n">
        <v>0.3</v>
      </c>
      <c r="M8" s="44">
        <f>IF(COUNT(F8:L8)&lt;7,"",ROUND(F8*G8*H8/I8*(0.5+0.5*AVERAGE(J8:K8))*(1-0.5*L8),2))</f>
        <v/>
      </c>
      <c r="N8" s="44">
        <f>IF(M8="","",RANK(M8,$M$5:$M$14))</f>
        <v/>
      </c>
      <c r="O8" s="45">
        <f>IF(B8="","",IF(OR(D8="",E8=""),"Thiếu",IF(SUMPRODUCT(--ISNUMBER(SEARCH({"0","1","2","3","4","5","6","7","8","9"},E8)))&gt;0,"Có","Thiếu")))</f>
        <v/>
      </c>
      <c r="P8" s="46" t="inlineStr">
        <is>
          <t>Mua</t>
        </is>
      </c>
      <c r="Q8" s="46" t="inlineStr">
        <is>
          <t>Dịch vụ tra cứu MST đã có; tích hợp và kiểm tra tên pháp lý giúp tập trung công sức vào đối chiếu an toàn.</t>
        </is>
      </c>
    </row>
    <row r="9" ht="23.25" customHeight="1" s="33">
      <c r="A9" s="43" t="n">
        <v>5</v>
      </c>
      <c r="B9" s="40" t="inlineStr">
        <is>
          <t>Gợi ý tài khoản hạch toán</t>
        </is>
      </c>
      <c r="C9" s="40" t="inlineStr">
        <is>
          <t>Giảm 30% thời gian hạch toán</t>
        </is>
      </c>
      <c r="D9" s="40" t="inlineStr">
        <is>
          <t>Ta tin rằng gợi ý tài khoản theo lịch sử khách hàng có thể rút ngắn thao tác sau khi có dữ liệu hạch toán đủ sạch.</t>
        </is>
      </c>
      <c r="E9" s="40" t="inlineStr">
        <is>
          <t>Thời gian hạch toán giảm ≥30% và kế toán chấp nhận ≥80% gợi ý trên 100 hóa đơn; đo riêng theo DN.</t>
        </is>
      </c>
      <c r="F9" s="40" t="n">
        <v>4</v>
      </c>
      <c r="G9" s="40" t="n">
        <v>3</v>
      </c>
      <c r="H9" s="40" t="n">
        <v>0.5</v>
      </c>
      <c r="I9" s="40" t="n">
        <v>4</v>
      </c>
      <c r="J9" s="40" t="n">
        <v>0.2</v>
      </c>
      <c r="K9" s="40" t="n">
        <v>0.3</v>
      </c>
      <c r="L9" s="40" t="n">
        <v>0.75</v>
      </c>
      <c r="M9" s="44">
        <f>IF(COUNT(F9:L9)&lt;7,"",ROUND(F9*G9*H9/I9*(0.5+0.5*AVERAGE(J9:K9))*(1-0.5*L9),2))</f>
        <v/>
      </c>
      <c r="N9" s="44">
        <f>IF(M9="","",RANK(M9,$M$5:$M$14))</f>
        <v/>
      </c>
      <c r="O9" s="45">
        <f>IF(B9="","",IF(OR(D9="",E9=""),"Thiếu",IF(SUMPRODUCT(--ISNUMBER(SEARCH({"0","1","2","3","4","5","6","7","8","9"},E9)))&gt;0,"Có","Thiếu")))</f>
        <v/>
      </c>
      <c r="P9" s="46" t="inlineStr">
        <is>
          <t>Chờ</t>
        </is>
      </c>
      <c r="Q9" s="46" t="inlineStr">
        <is>
          <t>Chưa có dữ liệu hạch toán của các DN khách hàng; cần đồng ý chia sẻ, chuẩn hóa và đo riêng theo DN.</t>
        </is>
      </c>
    </row>
    <row r="10" ht="23.25" customHeight="1" s="33">
      <c r="A10" s="43" t="n">
        <v>6</v>
      </c>
      <c r="B10" s="40" t="inlineStr">
        <is>
          <t>Trả lời câu hỏi thuế chung cho khách của văn phòng</t>
        </is>
      </c>
      <c r="C10" s="40" t="inlineStr">
        <is>
          <t>Bớt cuộc gọi hỏi đáp</t>
        </is>
      </c>
      <c r="D10" s="40" t="inlineStr">
        <is>
          <t>Ta tin rằng nội dung thuế chung có nguồn dẫn sẽ giảm cuộc gọi lặp lại, nhưng lợi ích và khác biệt sản phẩm chưa có dữ liệu chứng minh.</t>
        </is>
      </c>
      <c r="E10" s="40" t="inlineStr">
        <is>
          <t>Cuộc gọi hỏi đáp chung giảm ≥20% trong 3 tháng ở ≥10 VP; 100% câu trả lời có nguồn và đường chuyển chuyên gia.</t>
        </is>
      </c>
      <c r="F10" s="40" t="n">
        <v>3</v>
      </c>
      <c r="G10" s="40" t="n">
        <v>2</v>
      </c>
      <c r="H10" s="40" t="n">
        <v>0.5</v>
      </c>
      <c r="I10" s="40" t="n">
        <v>3</v>
      </c>
      <c r="J10" s="40" t="n">
        <v>0.1</v>
      </c>
      <c r="K10" s="40" t="n">
        <v>0.2</v>
      </c>
      <c r="L10" s="40" t="n">
        <v>0.9</v>
      </c>
      <c r="M10" s="44">
        <f>IF(COUNT(F10:L10)&lt;7,"",ROUND(F10*G10*H10/I10*(0.5+0.5*AVERAGE(J10:K10))*(1-0.5*L10),2))</f>
        <v/>
      </c>
      <c r="N10" s="44">
        <f>IF(M10="","",RANK(M10,$M$5:$M$14))</f>
        <v/>
      </c>
      <c r="O10" s="45">
        <f>IF(B10="","",IF(OR(D10="",E10=""),"Thiếu",IF(SUMPRODUCT(--ISNUMBER(SEARCH({"0","1","2","3","4","5","6","7","8","9"},E10)))&gt;0,"Có","Thiếu")))</f>
        <v/>
      </c>
      <c r="P10" s="46" t="inlineStr">
        <is>
          <t>Không làm</t>
        </is>
      </c>
      <c r="Q10" s="46" t="inlineStr">
        <is>
          <t>Mô hình phổ thông có thể trả lời câu hỏi thuế chung; chưa có số cuộc gọi nền và lợi ích khó khác biệt.</t>
        </is>
      </c>
    </row>
    <row r="11" ht="15" customHeight="1" s="33">
      <c r="A11" s="43" t="n">
        <v>7</v>
      </c>
      <c r="B11" s="40" t="n"/>
      <c r="C11" s="40" t="n"/>
      <c r="D11" s="40" t="n"/>
      <c r="E11" s="40" t="n"/>
      <c r="F11" s="40" t="n"/>
      <c r="G11" s="40" t="n"/>
      <c r="H11" s="40" t="n"/>
      <c r="I11" s="40" t="n"/>
      <c r="J11" s="40" t="n"/>
      <c r="K11" s="40" t="n"/>
      <c r="L11" s="40" t="n"/>
      <c r="M11" s="44">
        <f>IF(COUNT(F11:L11)&lt;7,"",ROUND(F11*G11*H11/I11*(0.5+0.5*AVERAGE(J11:K11))*(1-0.5*L11),2))</f>
        <v/>
      </c>
      <c r="N11" s="44">
        <f>IF(M11="","",RANK(M11,$M$5:$M$14))</f>
        <v/>
      </c>
      <c r="O11" s="45">
        <f>IF(B11="","",IF(OR(D11="",E11=""),"Thiếu",IF(SUMPRODUCT(--ISNUMBER(SEARCH({"0","1","2","3","4","5","6","7","8","9"},E11)))&gt;0,"Có","Thiếu")))</f>
        <v/>
      </c>
      <c r="P11" s="46" t="n"/>
      <c r="Q11" s="46" t="n"/>
    </row>
    <row r="12" ht="15" customHeight="1" s="33">
      <c r="A12" s="43" t="n">
        <v>8</v>
      </c>
      <c r="B12" s="40" t="n"/>
      <c r="C12" s="40" t="n"/>
      <c r="D12" s="40" t="n"/>
      <c r="E12" s="40" t="n"/>
      <c r="F12" s="40" t="n"/>
      <c r="G12" s="40" t="n"/>
      <c r="H12" s="40" t="n"/>
      <c r="I12" s="40" t="n"/>
      <c r="J12" s="40" t="n"/>
      <c r="K12" s="40" t="n"/>
      <c r="L12" s="40" t="n"/>
      <c r="M12" s="44">
        <f>IF(COUNT(F12:L12)&lt;7,"",ROUND(F12*G12*H12/I12*(0.5+0.5*AVERAGE(J12:K12))*(1-0.5*L12),2))</f>
        <v/>
      </c>
      <c r="N12" s="44">
        <f>IF(M12="","",RANK(M12,$M$5:$M$14))</f>
        <v/>
      </c>
      <c r="O12" s="45">
        <f>IF(B12="","",IF(OR(D12="",E12=""),"Thiếu",IF(SUMPRODUCT(--ISNUMBER(SEARCH({"0","1","2","3","4","5","6","7","8","9"},E12)))&gt;0,"Có","Thiếu")))</f>
        <v/>
      </c>
      <c r="P12" s="46" t="n"/>
      <c r="Q12" s="46" t="n"/>
    </row>
    <row r="13" ht="15" customHeight="1" s="33">
      <c r="A13" s="43" t="n">
        <v>9</v>
      </c>
      <c r="B13" s="40" t="n"/>
      <c r="C13" s="40" t="n"/>
      <c r="D13" s="40" t="n"/>
      <c r="E13" s="40" t="n"/>
      <c r="F13" s="40" t="n"/>
      <c r="G13" s="40" t="n"/>
      <c r="H13" s="40" t="n"/>
      <c r="I13" s="40" t="n"/>
      <c r="J13" s="40" t="n"/>
      <c r="K13" s="40" t="n"/>
      <c r="L13" s="40" t="n"/>
      <c r="M13" s="44">
        <f>IF(COUNT(F13:L13)&lt;7,"",ROUND(F13*G13*H13/I13*(0.5+0.5*AVERAGE(J13:K13))*(1-0.5*L13),2))</f>
        <v/>
      </c>
      <c r="N13" s="44">
        <f>IF(M13="","",RANK(M13,$M$5:$M$14))</f>
        <v/>
      </c>
      <c r="O13" s="45">
        <f>IF(B13="","",IF(OR(D13="",E13=""),"Thiếu",IF(SUMPRODUCT(--ISNUMBER(SEARCH({"0","1","2","3","4","5","6","7","8","9"},E13)))&gt;0,"Có","Thiếu")))</f>
        <v/>
      </c>
      <c r="P13" s="46" t="n"/>
      <c r="Q13" s="46" t="n"/>
    </row>
    <row r="14" ht="15" customHeight="1" s="33">
      <c r="A14" s="43" t="n">
        <v>10</v>
      </c>
      <c r="B14" s="40" t="n"/>
      <c r="C14" s="40" t="n"/>
      <c r="D14" s="40" t="n"/>
      <c r="E14" s="40" t="n"/>
      <c r="F14" s="40" t="n"/>
      <c r="G14" s="40" t="n"/>
      <c r="H14" s="40" t="n"/>
      <c r="I14" s="40" t="n"/>
      <c r="J14" s="40" t="n"/>
      <c r="K14" s="40" t="n"/>
      <c r="L14" s="40" t="n"/>
      <c r="M14" s="44">
        <f>IF(COUNT(F14:L14)&lt;7,"",ROUND(F14*G14*H14/I14*(0.5+0.5*AVERAGE(J14:K14))*(1-0.5*L14),2))</f>
        <v/>
      </c>
      <c r="N14" s="44">
        <f>IF(M14="","",RANK(M14,$M$5:$M$14))</f>
        <v/>
      </c>
      <c r="O14" s="45">
        <f>IF(B14="","",IF(OR(D14="",E14=""),"Thiếu",IF(SUMPRODUCT(--ISNUMBER(SEARCH({"0","1","2","3","4","5","6","7","8","9"},E14)))&gt;0,"Có","Thiếu")))</f>
        <v/>
      </c>
      <c r="P14" s="46" t="n"/>
      <c r="Q14" s="46" t="n"/>
    </row>
  </sheetData>
  <sheetProtection selectLockedCells="0" selectUnlockedCells="0" sheet="1" objects="0" insertRows="1" insertHyperlinks="1" autoFilter="1" scenarios="0" formatColumns="0" deleteColumns="1" insertColumns="1" pivotTables="1" deleteRows="1" formatCells="1" formatRows="0" sort="1"/>
  <dataValidations count="4">
    <dataValidation sqref="F5:G14 I5:I14" showDropDown="0" showInputMessage="0" showErrorMessage="1" allowBlank="1" errorTitle="Ngoài thang điểm" error="Nhập số nguyên từ 1 đến 5." type="whole" errorStyle="stop" operator="between">
      <formula1>1</formula1>
      <formula2>5</formula2>
    </dataValidation>
    <dataValidation sqref="H5:H14" showDropDown="0" showInputMessage="0" showErrorMessage="1" allowBlank="1" errorTitle="Mức tự tin" error="Dùng 0,5 (đoán), 0,8 (có dấu hiệu) hoặc 1 (có số liệu)." type="decimal" errorStyle="stop" operator="between">
      <formula1>0.5</formula1>
      <formula2>1</formula2>
    </dataValidation>
    <dataValidation sqref="J5:L14" showDropDown="0" showInputMessage="0" showErrorMessage="1" allowBlank="1" errorTitle="Ngoài thang 0–1" error="Nhập số từ 0 đến 1, ví dụ 0,6." type="decimal" errorStyle="stop" operator="between">
      <formula1>0</formula1>
      <formula2>1</formula2>
    </dataValidation>
    <dataValidation sqref="P5:P14" showDropDown="0" showInputMessage="0" showErrorMessage="0" allowBlank="1" type="list" errorStyle="stop" operator="between">
      <formula1>"Tự làm,Mua,Chờ,Không làm"</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32" min="1" max="1"/>
    <col width="20" customWidth="1" style="32" min="2" max="2"/>
    <col width="34" customWidth="1" style="32" min="3" max="3"/>
    <col width="30" customWidth="1" style="32" min="4" max="4"/>
    <col width="44" customWidth="1" style="32" min="5" max="5"/>
    <col width="36" customWidth="1" style="32" min="6" max="6"/>
    <col width="12" customWidth="1" style="32" min="7" max="8"/>
    <col width="18" customWidth="1" style="32" min="9" max="9"/>
    <col width="14" customWidth="1" style="32" min="10" max="10"/>
    <col width="12" customWidth="1" style="32" min="11" max="11"/>
    <col width="13" customWidth="1" style="32" min="12" max="12"/>
    <col width="11" customWidth="1" style="32" min="13" max="13"/>
  </cols>
  <sheetData>
    <row r="1" ht="17.25" customHeight="1" s="33">
      <c r="A1" s="34" t="inlineStr">
        <is>
          <t>2 · Lộ trình tăng dần mức tự động và cổng đánh giá</t>
        </is>
      </c>
    </row>
    <row r="2" ht="15" customHeight="1" s="33">
      <c r="A2" s="35" t="inlineStr">
        <is>
          <t>Mỗi lần lên mức phải qua một cổng đánh giá bằng con số. Chưa qua cổng thì chưa lên mức, dù đã đến ngày. Mức tự động quyết định chi phí mỗi việc: xem cột H–L.</t>
        </is>
      </c>
    </row>
    <row r="4" ht="26.25" customHeight="1" s="33">
      <c r="A4" s="42" t="inlineStr">
        <is>
          <t>Mức</t>
        </is>
      </c>
      <c r="B4" s="42" t="inlineStr">
        <is>
          <t>Tên mức</t>
        </is>
      </c>
      <c r="C4" s="42" t="inlineStr">
        <is>
          <t>AI làm gì</t>
        </is>
      </c>
      <c r="D4" s="42" t="inlineStr">
        <is>
          <t>Người làm gì</t>
        </is>
      </c>
      <c r="E4" s="42" t="inlineStr">
        <is>
          <t>Cổng đánh giá để lên mức này (chỉ số + ngưỡng + cỡ mẫu)</t>
        </is>
      </c>
      <c r="F4" s="42" t="inlineStr">
        <is>
          <t>Dữ liệu / hạ tầng / tuân thủ cần có</t>
        </is>
      </c>
      <c r="G4" s="42" t="inlineStr">
        <is>
          <t>Dự kiến (kế hoạch nội bộ, không phải cam kết)</t>
        </is>
      </c>
      <c r="H4" s="42" t="inlineStr">
        <is>
          <t>% việc có người duyệt</t>
        </is>
      </c>
      <c r="I4" s="42" t="inlineStr">
        <is>
          <t>Ai duyệt</t>
        </is>
      </c>
      <c r="J4" s="42" t="inlineStr">
        <is>
          <t>Chi phí mỗi việc (đ)</t>
        </is>
      </c>
      <c r="K4" s="42" t="inlineStr">
        <is>
          <t>Biên lợi nhuận gộp</t>
        </is>
      </c>
      <c r="L4" s="42" t="inlineStr">
        <is>
          <t>Biên ≥ 60%?</t>
        </is>
      </c>
      <c r="M4" s="42" t="inlineStr">
        <is>
          <t>Cổng có con số?</t>
        </is>
      </c>
    </row>
    <row r="5" ht="48" customHeight="1" s="33">
      <c r="A5" s="43" t="n">
        <v>0</v>
      </c>
      <c r="B5" s="40" t="inlineStr">
        <is>
          <t>Gợi ý</t>
        </is>
      </c>
      <c r="C5" s="40" t="inlineStr">
        <is>
          <t>Chỉ gợi ý trường đọc được; không ghi vào sổ.</t>
        </is>
      </c>
      <c r="D5" s="40" t="inlineStr">
        <is>
          <t>Kế toán viên công ty xác minh và nhập; không dùng như dịch vụ tự động.</t>
        </is>
      </c>
      <c r="E5" s="40" t="n"/>
      <c r="F5" s="40" t="inlineStr">
        <is>
          <t>Môi trường thử; mọi trường vẫn cần người nhập.</t>
        </is>
      </c>
      <c r="G5" s="40" t="n">
        <v>0</v>
      </c>
      <c r="H5" s="47" t="n">
        <v>1</v>
      </c>
      <c r="I5" s="46" t="inlineStr">
        <is>
          <t>Người của mình</t>
        </is>
      </c>
      <c r="J5" s="48">
        <f>IF(H5="","",$B$12+$B$13+IF(I5="Người của mình",H5*$B$14*$B$15/60,0))</f>
        <v/>
      </c>
      <c r="K5" s="49">
        <f>IF(J5="","",IFERROR(($B$16-$B$17*J5)/$B$16,""))</f>
        <v/>
      </c>
      <c r="L5" s="50">
        <f>IF(K5="","",IF(K5&gt;=0.6,"Đạt","Dưới ngưỡng"))</f>
        <v/>
      </c>
    </row>
    <row r="6" ht="48" customHeight="1" s="33">
      <c r="A6" s="43" t="n">
        <v>1</v>
      </c>
      <c r="B6" s="40" t="inlineStr">
        <is>
          <t>Hỗ trợ có duyệt</t>
        </is>
      </c>
      <c r="C6" s="40" t="inlineStr">
        <is>
          <t>Đọc, đối chiếu MST và tiền, gợi ý nhập; đánh dấu bất thường.</t>
        </is>
      </c>
      <c r="D6" s="40" t="inlineStr">
        <is>
          <t>Kế toán viên công ty duyệt khoảng 20%; tuần đầu Hạnh kiểm 1% hóa đơn thật, Tùng chấm đôi.</t>
        </is>
      </c>
      <c r="E6" s="40" t="inlineStr">
        <is>
          <t>Bộ đề 40 hóa đơn: đạt quy về thực tế ≥95%, lỗi nghiêm trọng 0/40, số tầng tụt 0, kappa ≥0,6; Hạnh và Tùng xác nhận. Kết quả đã có: 97,3%, 0, 0, 0,90.</t>
        </is>
      </c>
      <c r="F6" s="40" t="inlineStr">
        <is>
          <t>Tệp gốc và ảnh; API tra MST; phân quyền theo văn phòng; nhật ký thao tác. Không dùng dữ liệu thật trong repo.</t>
        </is>
      </c>
      <c r="G6" s="40" t="inlineStr">
        <is>
          <t>0–3 tháng: thí điểm có giới hạn, giữ cờ; 1% giám sát chuyên gia tuần đầu.</t>
        </is>
      </c>
      <c r="H6" s="47" t="n">
        <v>0.2</v>
      </c>
      <c r="I6" s="46" t="inlineStr">
        <is>
          <t>Người của mình</t>
        </is>
      </c>
      <c r="J6" s="48">
        <f>IF(H6="","",$B$12+$B$13+IF(I6="Người của mình",H6*$B$14*$B$15/60,0))</f>
        <v/>
      </c>
      <c r="K6" s="49">
        <f>IF(J6="","",IFERROR(($B$16-$B$17*J6)/$B$16,""))</f>
        <v/>
      </c>
      <c r="L6" s="50">
        <f>IF(K6="","",IF(K6&gt;=0.6,"Đạt","Dưới ngưỡng"))</f>
        <v/>
      </c>
      <c r="M6" s="50">
        <f>IF(E6="","",IF(SUMPRODUCT(--ISNUMBER(SEARCH({"0","1","2","3","4","5","6","7","8","9"},E6)))&gt;0,"Có","Thiếu"))</f>
        <v/>
      </c>
    </row>
    <row r="7" ht="48" customHeight="1" s="33">
      <c r="A7" s="43" t="n">
        <v>2</v>
      </c>
      <c r="B7" s="40" t="inlineStr">
        <is>
          <t>Tự động một phần</t>
        </is>
      </c>
      <c r="C7" s="40" t="inlineStr">
        <is>
          <t>Tự nhập hóa đơn rủi ro thấp; chuyển hóa đơn cờ và lỗi đối chiếu cho người.</t>
        </is>
      </c>
      <c r="D7" s="40" t="inlineStr">
        <is>
          <t>Kế toán viên công ty duyệt 10%; Hạnh/Tùng xem kết quả mẫu và mọi lỗi trọng yếu.</t>
        </is>
      </c>
      <c r="E7" s="40" t="inlineStr">
        <is>
          <t>≥60 hóa đơn thật từ ≥10 văn phòng: 0 lỗi MST/tiền, tỷ lệ cờ thừa ≤20%; người vận hành xác nhận. Với 0 lỗi/60, giới hạn gần đúng 3/n ≈5%, không phải bảo đảm tuyệt đối.</t>
        </is>
      </c>
      <c r="F7" s="40" t="inlineStr">
        <is>
          <t>Có ≥10 văn phòng đồng ý thử; lưu vết, quyền truy cập tối thiểu; quy trình dừng nhập và khôi phục.</t>
        </is>
      </c>
      <c r="G7" s="40" t="inlineStr">
        <is>
          <t>3–6 tháng: chỉ lên mức này sau khi đạt cổng trên.</t>
        </is>
      </c>
      <c r="H7" s="47" t="n">
        <v>0.1</v>
      </c>
      <c r="I7" s="46" t="inlineStr">
        <is>
          <t>Người của mình</t>
        </is>
      </c>
      <c r="J7" s="48">
        <f>IF(H7="","",$B$12+$B$13+IF(I7="Người của mình",H7*$B$14*$B$15/60,0))</f>
        <v/>
      </c>
      <c r="K7" s="49">
        <f>IF(J7="","",IFERROR(($B$16-$B$17*J7)/$B$16,""))</f>
        <v/>
      </c>
      <c r="L7" s="50">
        <f>IF(K7="","",IF(K7&gt;=0.6,"Đạt","Dưới ngưỡng"))</f>
        <v/>
      </c>
      <c r="M7" s="50">
        <f>IF(E7="","",IF(SUMPRODUCT(--ISNUMBER(SEARCH({"0","1","2","3","4","5","6","7","8","9"},E7)))&gt;0,"Có","Thiếu"))</f>
        <v/>
      </c>
    </row>
    <row r="8" ht="48" customHeight="1" s="33">
      <c r="A8" s="43" t="n">
        <v>3</v>
      </c>
      <c r="B8" s="40" t="inlineStr">
        <is>
          <t>Tự động có giám sát</t>
        </is>
      </c>
      <c r="C8" s="40" t="inlineStr">
        <is>
          <t>Mở rộng nhập tự động cho loại hóa đơn đã chứng minh; cảnh báo và cho người quay lui.</t>
        </is>
      </c>
      <c r="D8" s="40" t="inlineStr">
        <is>
          <t>Kế toán viên công ty kiểm tra mẫu 5%, theo dõi cờ và xử lý ngoại lệ; Hạnh/Tùng duyệt cổng.</t>
        </is>
      </c>
      <c r="E8" s="40" t="inlineStr">
        <is>
          <t>≥120 hóa đơn thật từ ≥10 văn phòng: 0 lỗi MST/tiền, không tụt tầng, tỷ lệ cờ thừa ≤15%; Hạnh và Tùng xác nhận. 0 lỗi/120 cho 3/n ≈2,5%, chưa chứng minh rủi ro bằng 0.</t>
        </is>
      </c>
      <c r="F8" s="40" t="inlineStr">
        <is>
          <t>Chỉ mở với loại hóa đơn đã thử; nhật ký, ngắt tự động tức thì và soát toàn bộ ngoại lệ.</t>
        </is>
      </c>
      <c r="G8" s="40" t="inlineStr">
        <is>
          <t>6–12 tháng: cân nhắc theo kết quả và doanh thu; không bật cho loại chưa thử.</t>
        </is>
      </c>
      <c r="H8" s="47" t="n">
        <v>0.05</v>
      </c>
      <c r="I8" s="46" t="inlineStr">
        <is>
          <t>Người của mình</t>
        </is>
      </c>
      <c r="J8" s="48">
        <f>IF(H8="","",$B$12+$B$13+IF(I8="Người của mình",H8*$B$14*$B$15/60,0))</f>
        <v/>
      </c>
      <c r="K8" s="49">
        <f>IF(J8="","",IFERROR(($B$16-$B$17*J8)/$B$16,""))</f>
        <v/>
      </c>
      <c r="L8" s="50">
        <f>IF(K8="","",IF(K8&gt;=0.6,"Đạt","Dưới ngưỡng"))</f>
        <v/>
      </c>
      <c r="M8" s="50">
        <f>IF(E8="","",IF(SUMPRODUCT(--ISNUMBER(SEARCH({"0","1","2","3","4","5","6","7","8","9"},E8)))&gt;0,"Có","Thiếu"))</f>
        <v/>
      </c>
    </row>
    <row r="11" ht="15" customHeight="1" s="33">
      <c r="A11" s="41" t="inlineStr">
        <is>
          <t>SỐ LIỆU KINH TẾ CỦA ĐỀ (đã điền sẵn từ hồ sơ tình huống; sửa được nếu nhóm có lý do)</t>
        </is>
      </c>
    </row>
    <row r="12" ht="15" customHeight="1" s="33">
      <c r="A12" s="51" t="inlineStr">
        <is>
          <t>Chi phí gọi AI / việc (đã tính gọi lại)</t>
        </is>
      </c>
      <c r="B12" s="52" t="n">
        <v>254</v>
      </c>
      <c r="C12" s="53" t="inlineStr">
        <is>
          <t>Hồ sơ, bảng Số liệu kinh tế, dòng 1</t>
        </is>
      </c>
    </row>
    <row r="13" ht="15" customHeight="1" s="33">
      <c r="A13" s="51" t="inlineStr">
        <is>
          <t>Hạ tầng + đánh giá + khác / việc</t>
        </is>
      </c>
      <c r="B13" s="52" t="n">
        <v>200</v>
      </c>
      <c r="C13" s="53" t="inlineStr">
        <is>
          <t>dòng 2</t>
        </is>
      </c>
    </row>
    <row r="14" ht="15" customHeight="1" s="33">
      <c r="A14" s="51" t="inlineStr">
        <is>
          <t>Số phút người duyệt / việc</t>
        </is>
      </c>
      <c r="B14" s="54" t="n">
        <v>1.5</v>
      </c>
      <c r="C14" s="53" t="inlineStr">
        <is>
          <t>dòng 3</t>
        </is>
      </c>
    </row>
    <row r="15" ht="15" customHeight="1" s="33">
      <c r="A15" s="51" t="inlineStr">
        <is>
          <t>Chi phí 1 giờ người duyệt (đ)</t>
        </is>
      </c>
      <c r="B15" s="52" t="n">
        <v>50000</v>
      </c>
      <c r="C15" s="53" t="inlineStr">
        <is>
          <t>dòng 4</t>
        </is>
      </c>
    </row>
    <row r="16" ht="15" customHeight="1" s="33">
      <c r="A16" s="51" t="inlineStr">
        <is>
          <t>Doanh thu bình quân / khách / tháng (đ)</t>
        </is>
      </c>
      <c r="B16" s="52" t="n">
        <v>3970000</v>
      </c>
      <c r="C16" s="53" t="inlineStr">
        <is>
          <t>dòng 5</t>
        </is>
      </c>
    </row>
    <row r="17" ht="15" customHeight="1" s="33">
      <c r="A17" s="51" t="inlineStr">
        <is>
          <t>Số việc bình quân / khách / tháng</t>
        </is>
      </c>
      <c r="B17" s="52" t="n">
        <v>1760</v>
      </c>
      <c r="C17" s="53" t="inlineStr">
        <is>
          <t>dòng 6</t>
        </is>
      </c>
    </row>
    <row r="18" ht="15" customHeight="1" s="33">
      <c r="A18" s="51" t="inlineStr">
        <is>
          <t>Biến nguy hiểm nhất</t>
        </is>
      </c>
      <c r="B18" s="46" t="inlineStr">
        <is>
          <t>Doanh thu bình quân (65% doanh thu đến từ 30% văn phòng dùng nhiều)</t>
        </is>
      </c>
      <c r="C18" s="53" t="inlineStr">
        <is>
          <t>dòng 7</t>
        </is>
      </c>
    </row>
    <row r="19" ht="15" customHeight="1" s="33">
      <c r="A19" s="51" t="inlineStr">
        <is>
          <t>Điều kiện dừng đã chọn (theo đề)</t>
        </is>
      </c>
      <c r="B19" s="46" t="inlineStr">
        <is>
          <t>NẾU doanh thu bình quân dưới 3,71 triệu/văn phòng trong 2 tháng liên tiếp, trên ít nhất 10 văn phòng, THÌ dừng mở rộng</t>
        </is>
      </c>
      <c r="C19" s="53" t="inlineStr">
        <is>
          <t>dòng 8</t>
        </is>
      </c>
    </row>
    <row r="20" ht="15" customHeight="1" s="33">
      <c r="A20" s="51" t="inlineStr">
        <is>
          <t>Kịch bản xấu hết tiền ở tháng</t>
        </is>
      </c>
      <c r="B20" s="55" t="n">
        <v>7</v>
      </c>
      <c r="C20" s="53" t="inlineStr">
        <is>
          <t>dòng 9</t>
        </is>
      </c>
    </row>
    <row r="22" ht="15" customHeight="1" s="33">
      <c r="A22" s="53" t="inlineStr">
        <is>
          <t>Ghi chú: người duyệt của mình là kế toán viên của công ty. Gợi ý của đề: Mức 1 duyệt khoảng 20%; Mức 2 khoảng 10%.</t>
        </is>
      </c>
    </row>
    <row r="23" ht="15" customHeight="1" s="33">
      <c r="A23" s="53" t="n"/>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I5:I8" showDropDown="0" showInputMessage="0" showErrorMessage="0" allowBlank="1" type="list" errorStyle="stop" operator="between">
      <formula1>"Người của mình,Nhân viên cửa hàng"</formula1>
      <formula2>0</formula2>
    </dataValidation>
    <dataValidation sqref="H5:H8" showDropDown="0" showInputMessage="0" showErrorMessage="0" allowBlank="1" type="decimal" errorStyle="stop" operator="between">
      <formula1>0</formula1>
      <formula2>1</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32" min="1" max="1"/>
    <col width="42" customWidth="1" style="32" min="2" max="4"/>
  </cols>
  <sheetData>
    <row r="1" ht="17.25" customHeight="1" s="33">
      <c r="A1" s="34" t="inlineStr">
        <is>
          <t>3 · Bảng lộ trình theo giả thuyết: Bây giờ / Tiếp theo / Sau này</t>
        </is>
      </c>
    </row>
    <row r="2" ht="15" customHeight="1" s="33">
      <c r="A2" s="35" t="inlineStr">
        <is>
          <t>Bây giờ = cam kết (0–3 tháng) · Tiếp theo = định hướng (3–6 tháng) · Sau này = khám phá (6–12 tháng). Càng xa càng ít chi tiết.</t>
        </is>
      </c>
    </row>
    <row r="4" ht="15" customHeight="1" s="33">
      <c r="A4" s="42" t="inlineStr">
        <is>
          <t>Dòng</t>
        </is>
      </c>
      <c r="B4" s="42" t="inlineStr">
        <is>
          <t>Bây giờ (0–3 tháng)</t>
        </is>
      </c>
      <c r="C4" s="42" t="inlineStr">
        <is>
          <t>Tiếp theo (3–6 tháng)</t>
        </is>
      </c>
      <c r="D4" s="42" t="inlineStr">
        <is>
          <t>Sau này (6–12 tháng)</t>
        </is>
      </c>
    </row>
    <row r="5" ht="48" customHeight="1" s="33">
      <c r="A5" s="56" t="inlineStr">
        <is>
          <t>Việc chính (lấy từ trang 1)</t>
        </is>
      </c>
      <c r="B5" s="40" t="inlineStr">
        <is>
          <t>Tích hợp tra MST; dùng nhập XML sẵn có; gắn cờ hóa đơn rủi ro.</t>
        </is>
      </c>
      <c r="C5" s="40" t="inlineStr">
        <is>
          <t>Tự nhập hóa đơn rủi ro thấp sau khi qua cổng 60 ca thật.</t>
        </is>
      </c>
      <c r="D5" s="40" t="inlineStr">
        <is>
          <t>Cân nhắc mở rộng sang ảnh giấy và tài khoản hạch toán; FAQ thuế vẫn ngoài phạm vi.</t>
        </is>
      </c>
    </row>
    <row r="6" ht="48" customHeight="1" s="33">
      <c r="A6" s="56" t="inlineStr">
        <is>
          <t>Giả thuyết</t>
        </is>
      </c>
      <c r="B6" s="40" t="inlineStr">
        <is>
          <t>Ta tin rằng tích hợp tra cứu và nhập tệp gốc giảm thao tác mà không tăng sai MST/tiền; cờ giúp kế toán chỉ xem phần cần thiết.</t>
        </is>
      </c>
      <c r="C6" s="40" t="inlineStr">
        <is>
          <t>Ta tin rằng thử nghiệm có người duyệt sẽ xác nhận mức giảm thao tác và cờ thừa trước khi hạ duyệt.</t>
        </is>
      </c>
      <c r="D6" s="40" t="inlineStr">
        <is>
          <t>Ta tin rằng dữ liệu theo từng loại hóa đơn đủ sạch mới giúp tự động hóa mở rộng có giám sát.</t>
        </is>
      </c>
    </row>
    <row r="7" ht="48" customHeight="1" s="33">
      <c r="A7" s="56" t="inlineStr">
        <is>
          <t>Chỉ số thành công và ngưỡng</t>
        </is>
      </c>
      <c r="B7" s="40" t="inlineStr">
        <is>
          <t>≥100 hóa đơn/≥10 DN: nhập XML giảm ≥70% thời gian; MST/tiền đúng 100%; tỷ lệ cần xem ≤20%.</t>
        </is>
      </c>
      <c r="C7" s="40" t="inlineStr">
        <is>
          <t>≥60 hóa đơn thật/≥10 VP: 0 lỗi MST/tiền; cờ thừa ≤20%.</t>
        </is>
      </c>
      <c r="D7" s="40" t="inlineStr">
        <is>
          <t>≥120 hóa đơn thật/≥10 VP: 0 lỗi nghiêm trọng, không tụt tầng, cờ thừa ≤15%; xem lại doanh thu.</t>
        </is>
      </c>
    </row>
    <row r="8" ht="48" customHeight="1" s="33">
      <c r="A8" s="56" t="inlineStr">
        <is>
          <t>Mức tự động (trang 2)</t>
        </is>
      </c>
      <c r="B8" s="40" t="inlineStr">
        <is>
          <t>Mức 1: hỗ trợ có duyệt ~20%; tuần đầu chuyên gia kiểm 1% hóa đơn thật.</t>
        </is>
      </c>
      <c r="C8" s="40" t="inlineStr">
        <is>
          <t>Mức 2: tự động một phần, duyệt 10% sau khi qua cổng.</t>
        </is>
      </c>
      <c r="D8" s="40" t="inlineStr">
        <is>
          <t>Mức 3: tự động có giám sát, duyệt mẫu 5% sau cổng; giữ nút dừng và lùi mức.</t>
        </is>
      </c>
    </row>
    <row r="9" ht="48" customHeight="1" s="33">
      <c r="A9" s="56" t="inlineStr">
        <is>
          <t>Cổng đánh giá</t>
        </is>
      </c>
      <c r="B9" s="40" t="inlineStr">
        <is>
          <t>Bộ 40 ca đã đạt: 97,3%, 0 lỗi nghiêm trọng, không tụt tầng, kappa 0,90; Hạnh/Tùng xác nhận.</t>
        </is>
      </c>
      <c r="C9" s="40" t="inlineStr">
        <is>
          <t>Chỉ chuyển sau ≥60 ca thật ở ≥10 VP, 0 lỗi MST/tiền, cờ thừa ≤20%; kiểm tra giới hạn 3/n.</t>
        </is>
      </c>
      <c r="D9" s="40" t="inlineStr">
        <is>
          <t>Chỉ mở thêm sau ≥120 ca thật ở ≥10 VP, 0 lỗi trọng yếu, không tụt tầng, cờ thừa ≤15%; 3/n ≈2,5%.</t>
        </is>
      </c>
    </row>
    <row r="10" ht="48" customHeight="1" s="33">
      <c r="A10" s="56" t="inlineStr">
        <is>
          <t>Điều kiện cần: dữ liệu / hạ tầng / tuân thủ</t>
        </is>
      </c>
      <c r="B10" s="40" t="inlineStr">
        <is>
          <t>Phần mềm kế toán có nhập tệp gốc; dịch vụ tra MST có thể tích hợp; cần quyền theo khách, nhật ký và quy trình dừng. Hạnh có 3 giờ/tuần.</t>
        </is>
      </c>
      <c r="C10" s="40" t="inlineStr">
        <is>
          <t>Cần đồng ý của ≥10 VP, mẫu hóa đơn thật được phép dùng, kỹ sư tích hợp và lịch chấm chuyên gia phù hợp.</t>
        </is>
      </c>
      <c r="D10" s="40" t="inlineStr">
        <is>
          <t>Cần giám sát vận hành, dữ liệu tách theo văn phòng, quyền truy cập và kiểm tra tuân thủ trước mỗi loại mới.</t>
        </is>
      </c>
    </row>
    <row r="11" ht="48" customHeight="1" s="33">
      <c r="A11" s="56" t="inlineStr">
        <is>
          <t>Căn cứ kinh tế (số liệu của đề và trang 2)</t>
        </is>
      </c>
      <c r="B11" s="40" t="inlineStr">
        <is>
          <t>Mức 1: 704 đ/việc; biên gộp ≈68,8% theo 1.760 việc/khách/tháng. Đã có phí AI 254 đ và chi phí khác 200 đ.</t>
        </is>
      </c>
      <c r="C11" s="40" t="inlineStr">
        <is>
          <t>Mức 2 duyệt 10%: 579 đ/việc; biên gộp ≈74,3%. Theo dõi doanh thu, 65% đến từ 30% VP dùng nhiều.</t>
        </is>
      </c>
      <c r="D11" s="40" t="inlineStr">
        <is>
          <t>Mức 3 duyệt 5%: 516,5 đ/việc; biên gộp ≈77,1%. Không ngoại suy khi sản lượng hoặc doanh thu thay đổi.</t>
        </is>
      </c>
    </row>
    <row r="12" ht="48" customHeight="1" s="33">
      <c r="A12" s="56" t="inlineStr">
        <is>
          <t>Điều kiện dừng / đổi hướng</t>
        </is>
      </c>
      <c r="B12" s="40" t="inlineStr">
        <is>
          <t>Nếu tuần đầu có 1 lỗi MST/tiền, dừng nhập trường/luồng đó ngay và lùi về gợi ý; nếu cờ quá nhiều, sửa ngưỡng trước khi mở rộng.</t>
        </is>
      </c>
      <c r="C12" s="40" t="inlineStr">
        <is>
          <t>Nếu không đạt cổng 60 ca hoặc cờ thừa &gt;20%, giữ Mức 1; nếu doanh thu &lt;3,71 triệu/VP 2 tháng liên tiếp trên ≥10 VP, dừng mở rộng.</t>
        </is>
      </c>
      <c r="D12" s="40" t="inlineStr">
        <is>
          <t>Nếu có 1 lỗi trọng yếu, tụt tầng hoặc cờ thừa &gt;15%, quay về Mức 2/1. Nếu doanh thu dưới ngưỡng của đề, dừng mở rộng.</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2" min="1" max="1"/>
    <col width="40" customWidth="1" style="32" min="2" max="3"/>
    <col width="28" customWidth="1" style="32" min="4" max="4"/>
  </cols>
  <sheetData>
    <row r="1" ht="17.25" customHeight="1" s="33">
      <c r="A1" s="34" t="inlineStr">
        <is>
          <t>4 · Lịch rà soát lộ trình</t>
        </is>
      </c>
    </row>
    <row r="2" ht="15" customHeight="1" s="33">
      <c r="A2" s="35" t="inlineStr">
        <is>
          <t>Rà soát theo lịch VÀ mỗi khi có sự kiện. Ở mốc 30/60/90 chọn 1 trong 4: đi tiếp, sửa, đổi hướng, dừng.</t>
        </is>
      </c>
    </row>
    <row r="4" ht="15" customHeight="1" s="33">
      <c r="A4" s="42" t="inlineStr">
        <is>
          <t>Mốc / sự kiện</t>
        </is>
      </c>
      <c r="B4" s="42" t="inlineStr">
        <is>
          <t>Nhìn vào chỉ số nào</t>
        </is>
      </c>
      <c r="C4" s="42" t="inlineStr">
        <is>
          <t>Quyết định có thể đưa ra</t>
        </is>
      </c>
      <c r="D4" s="42" t="inlineStr">
        <is>
          <t>Ai quyết</t>
        </is>
      </c>
    </row>
    <row r="5" ht="15" customHeight="1" s="33">
      <c r="A5" s="40" t="inlineStr">
        <is>
          <t>Ngày 30</t>
        </is>
      </c>
      <c r="B5" s="40" t="inlineStr">
        <is>
          <t>Lỗi MST/tiền; thời gian nhập; tỷ lệ cờ; tỷ lệ 1% Hạnh kiểm tuần đầu.</t>
        </is>
      </c>
      <c r="C5" s="40" t="inlineStr">
        <is>
          <t>Giữ Mức 1 hoặc tạm dừng luồng có lỗi; không tăng tự động.</t>
        </is>
      </c>
      <c r="D5" s="40" t="inlineStr">
        <is>
          <t>Quản lý sản phẩm cùng Hạnh.</t>
        </is>
      </c>
    </row>
    <row r="6" ht="15" customHeight="1" s="33">
      <c r="A6" s="40" t="inlineStr">
        <is>
          <t>Ngày 60</t>
        </is>
      </c>
      <c r="B6" s="40" t="inlineStr">
        <is>
          <t>Kết quả 60 hóa đơn thật/≥10 VP; 0 lỗi trọng yếu; cờ thừa ≤20%; chi phí duyệt.</t>
        </is>
      </c>
      <c r="C6" s="40" t="inlineStr">
        <is>
          <t>Chỉ chuyển Mức 2 (10% duyệt) khi đủ cổng; nếu thiếu dữ liệu thì giữ Mức 1.</t>
        </is>
      </c>
      <c r="D6" s="40" t="inlineStr">
        <is>
          <t>Quản lý sản phẩm, Hạnh và Tùng.</t>
        </is>
      </c>
    </row>
    <row r="7" ht="15" customHeight="1" s="33">
      <c r="A7" s="40" t="inlineStr">
        <is>
          <t>Ngày 90</t>
        </is>
      </c>
      <c r="B7" s="40" t="inlineStr">
        <is>
          <t>Doanh thu/VP; biên gộp; tỷ lệ cần xem; lỗi trọng yếu và mức tập trung khách hàng.</t>
        </is>
      </c>
      <c r="C7" s="40" t="inlineStr">
        <is>
          <t>Đi tiếp hoặc sửa. Nếu &lt;3,71 triệu/VP trong 2 tháng liên tiếp trên ≥10 VP, dừng mở rộng.</t>
        </is>
      </c>
      <c r="D7" s="40" t="inlineStr">
        <is>
          <t>Trưởng nhóm/ban lãnh đạo cùng quản lý sản phẩm.</t>
        </is>
      </c>
    </row>
    <row r="8" ht="15" customHeight="1" s="33">
      <c r="A8" s="40" t="inlineStr">
        <is>
          <t>Có mô hình mới / giá gọi AI giảm mạnh</t>
        </is>
      </c>
      <c r="B8" s="40" t="inlineStr">
        <is>
          <t>Chi phí AI/việc so với 254 đ; chi phí và biên gộp ở sản lượng thực tế.</t>
        </is>
      </c>
      <c r="C8" s="40" t="inlineStr">
        <is>
          <t>Tính lại chi phí và cổng; thử lại bộ đề trước khi đổi mô hình hoặc tăng mức.</t>
        </is>
      </c>
      <c r="D8" s="40" t="inlineStr">
        <is>
          <t>Quản lý sản phẩm và tài chính.</t>
        </is>
      </c>
    </row>
    <row r="9" ht="15" customHeight="1" s="33">
      <c r="A9" s="40" t="inlineStr">
        <is>
          <t>Nền tảng hoặc đối thủ ra tính năng tương tự</t>
        </is>
      </c>
      <c r="B9" s="40" t="inlineStr">
        <is>
          <t>Tính năng nhập sẵn, giá tích hợp và chất lượng đối chiếu so với tự xây.</t>
        </is>
      </c>
      <c r="C9" s="40" t="inlineStr">
        <is>
          <t>Ưu tiên tích hợp nếu bao phủ yêu cầu; dừng phần việc đã thành tiện ích chung.</t>
        </is>
      </c>
      <c r="D9" s="40" t="inlineStr">
        <is>
          <t>Quản lý sản phẩm và kỹ thuật.</t>
        </is>
      </c>
    </row>
    <row r="10" ht="15" customHeight="1" s="33">
      <c r="A10" s="40" t="inlineStr">
        <is>
          <t>Quy định pháp lý thay đổi</t>
        </is>
      </c>
      <c r="B10" s="40" t="inlineStr">
        <is>
          <t>Quy định lưu trữ, truy cập, đồng ý dùng dữ liệu và nhật ký.</t>
        </is>
      </c>
      <c r="C10" s="40" t="inlineStr">
        <is>
          <t>Tạm dừng luồng bị ảnh hưởng đến khi tuân thủ xác nhận điều kiện mới.</t>
        </is>
      </c>
      <c r="D10" s="40" t="inlineStr">
        <is>
          <t>Phụ trách tuân thủ và ban lãnh đạo.</t>
        </is>
      </c>
    </row>
    <row r="12" ht="15" customHeight="1" s="33">
      <c r="A12" s="53" t="inlineStr">
        <is>
          <t>Ngày 90 chưa đo được giá trị vòng đời thật: khách mới dùng 3 tháng. Chỉ dùng chỉ số đã có đủ dữ liệu.</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32" min="1" max="1"/>
    <col width="90" customWidth="1" style="32" min="2" max="2"/>
    <col width="8" customWidth="1" style="32" min="3" max="3"/>
    <col width="12" customWidth="1" style="32" min="4" max="4"/>
  </cols>
  <sheetData>
    <row r="1" ht="17.25" customHeight="1" s="33">
      <c r="A1" s="34" t="inlineStr">
        <is>
          <t>5 · Lộ trình 1 slide cho lãnh đạo</t>
        </is>
      </c>
    </row>
    <row r="2" ht="15" customHeight="1" s="33">
      <c r="A2" s="35" t="inlineStr">
        <is>
          <t>Kết luận trước. Không quá 60 chữ mỗi ô (cột C tự đếm).</t>
        </is>
      </c>
    </row>
    <row r="3" ht="15" customHeight="1" s="33">
      <c r="C3" s="57" t="inlineStr">
        <is>
          <t>Số chữ</t>
        </is>
      </c>
      <c r="D3" s="57" t="inlineStr">
        <is>
          <t>Đạt?</t>
        </is>
      </c>
    </row>
    <row r="4" ht="33.75" customHeight="1" s="33">
      <c r="A4" s="57" t="inlineStr">
        <is>
          <t>Kết luận (1 câu)</t>
        </is>
      </c>
      <c r="B4" s="40" t="inlineStr">
        <is>
          <t>Triển khai SổSạch có kiểm soát; tăng tự động chỉ sau cổng 0 lỗi trọng yếu trên hóa đơn thật.</t>
        </is>
      </c>
      <c r="C4" s="58">
        <f>IF(TRIM(B4)="",0,LEN(TRIM(B4))-LEN(SUBSTITUTE(TRIM(B4)," ",""))+1)</f>
        <v/>
      </c>
      <c r="D4" s="50">
        <f>IF(C4=0,"Trống",IF(C4&gt;60,"Quá 60 chữ","Đạt"))</f>
        <v/>
      </c>
    </row>
    <row r="5" ht="33.75" customHeight="1" s="33">
      <c r="A5" s="57" t="inlineStr">
        <is>
          <t>3 việc chính</t>
        </is>
      </c>
      <c r="B5" s="40" t="inlineStr">
        <is>
          <t>Tích hợp tra MST; nhập tệp điện tử; gắn cờ hóa đơn rủi ro.</t>
        </is>
      </c>
      <c r="C5" s="58">
        <f>IF(TRIM(B5)="",0,LEN(TRIM(B5))-LEN(SUBSTITUTE(TRIM(B5)," ",""))+1)</f>
        <v/>
      </c>
      <c r="D5" s="50">
        <f>IF(C5=0,"Trống",IF(C5&gt;60,"Quá 60 chữ","Đạt"))</f>
        <v/>
      </c>
    </row>
    <row r="6" ht="33.75" customHeight="1" s="33">
      <c r="A6" s="57" t="inlineStr">
        <is>
          <t>Cần gì (người, tiền, dữ liệu)</t>
        </is>
      </c>
      <c r="B6" s="40" t="inlineStr">
        <is>
          <t>Kế toán viên công ty duyệt 20%; Hạnh 3 giờ/tuần; tích hợp API tra MST và nhật ký kiểm toán.</t>
        </is>
      </c>
      <c r="C6" s="58">
        <f>IF(TRIM(B6)="",0,LEN(TRIM(B6))-LEN(SUBSTITUTE(TRIM(B6)," ",""))+1)</f>
        <v/>
      </c>
      <c r="D6" s="50">
        <f>IF(C6=0,"Trống",IF(C6&gt;60,"Quá 60 chữ","Đạt"))</f>
        <v/>
      </c>
    </row>
    <row r="7" ht="33.75" customHeight="1" s="33">
      <c r="A7" s="57" t="inlineStr">
        <is>
          <t>Rủi ro lớn nhất &amp; cách xử lý</t>
        </is>
      </c>
      <c r="B7" s="40" t="inlineStr">
        <is>
          <t>Rủi ro: sai MST/tiền hoặc cờ quá nhiều. Dừng trường lỗi ngay; giữ cờ ≤20% và soát mẫu.</t>
        </is>
      </c>
      <c r="C7" s="58">
        <f>IF(TRIM(B7)="",0,LEN(TRIM(B7))-LEN(SUBSTITUTE(TRIM(B7)," ",""))+1)</f>
        <v/>
      </c>
      <c r="D7" s="50">
        <f>IF(C7=0,"Trống",IF(C7&gt;60,"Quá 60 chữ","Đạt"))</f>
        <v/>
      </c>
    </row>
    <row r="8" ht="33.75" customHeight="1" s="33">
      <c r="A8" s="57" t="inlineStr">
        <is>
          <t>Khi nào xem lại</t>
        </is>
      </c>
      <c r="B8" s="40" t="inlineStr">
        <is>
          <t>Xem lại ngày 30/60/90; chỉ hạ duyệt 20%→10% sau 60 hóa đơn thật, ≥10 văn phòng, 0 lỗi nghiêm trọng.</t>
        </is>
      </c>
      <c r="C8" s="58">
        <f>IF(TRIM(B8)="",0,LEN(TRIM(B8))-LEN(SUBSTITUTE(TRIM(B8)," ",""))+1)</f>
        <v/>
      </c>
      <c r="D8" s="50">
        <f>IF(C8=0,"Trống",IF(C8&gt;60,"Quá 60 chữ","Đạt"))</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C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6" customWidth="1" style="32" min="1" max="1"/>
    <col width="14" customWidth="1" style="32" min="2" max="3"/>
  </cols>
  <sheetData>
    <row r="1" ht="17.25" customHeight="1" s="33">
      <c r="A1" s="34" t="inlineStr">
        <is>
          <t>6 · Tự kiểm tra</t>
        </is>
      </c>
    </row>
    <row r="2" ht="15" customHeight="1" s="33">
      <c r="A2" s="35" t="inlineStr">
        <is>
          <t>Chưa 'Đạt' thì quay lại sửa trước khi nộp file.</t>
        </is>
      </c>
    </row>
    <row r="4" ht="15" customHeight="1" s="33">
      <c r="A4" s="42" t="inlineStr">
        <is>
          <t>Điểm kiểm tra</t>
        </is>
      </c>
      <c r="B4" s="42" t="inlineStr">
        <is>
          <t>Kết quả</t>
        </is>
      </c>
      <c r="C4" s="42" t="inlineStr">
        <is>
          <t>Đạt?</t>
        </is>
      </c>
    </row>
    <row r="5" ht="15" customHeight="1" s="33">
      <c r="A5" s="43" t="inlineStr">
        <is>
          <t>Số việc đã chấm điểm (cần ≥ 5)</t>
        </is>
      </c>
      <c r="B5" s="44">
        <f>COUNT('1_Danh sách việc'!M5:M14)</f>
        <v/>
      </c>
      <c r="C5" s="44">
        <f>IF(B5&gt;=5,"Đạt","Xem lại")</f>
        <v/>
      </c>
    </row>
    <row r="6" ht="15" customHeight="1" s="33">
      <c r="A6" s="43" t="inlineStr">
        <is>
          <t>Việc được giữ lại mà thiếu giả thuyết hoặc chỉ số có con số (cần = 0)</t>
        </is>
      </c>
      <c r="B6" s="44">
        <f>COUNTIFS('1_Danh sách việc'!O5:O14,"Thiếu",'1_Danh sách việc'!P5:P14,"&lt;&gt;Không làm")</f>
        <v/>
      </c>
      <c r="C6" s="44">
        <f>IF(B5=0,"",IF(B6=0,"Đạt","Xem lại"))</f>
        <v/>
      </c>
    </row>
    <row r="7" ht="15" customHeight="1" s="33">
      <c r="A7" s="43" t="inlineStr">
        <is>
          <t>Số mức tự động có cổng đánh giá kèm con số (cần ≥ 2, không tính Mức 0)</t>
        </is>
      </c>
      <c r="B7" s="44">
        <f>COUNTIF('2_Mức tự động'!M6:M8,"Có")</f>
        <v/>
      </c>
      <c r="C7" s="44">
        <f>IF(B7&gt;=2,"Đạt","Xem lại")</f>
        <v/>
      </c>
    </row>
    <row r="8" ht="15" customHeight="1" s="33">
      <c r="A8" s="43" t="inlineStr">
        <is>
          <t>Bảng lộ trình: số ô tầng 'Bây giờ' đã điền (cần 8/8)</t>
        </is>
      </c>
      <c r="B8" s="44">
        <f>COUNTA('3_Bảng lộ trình'!B5:B12)</f>
        <v/>
      </c>
      <c r="C8" s="44">
        <f>IF(B8=8,"Đạt","Xem lại")</f>
        <v/>
      </c>
    </row>
    <row r="9" ht="15" customHeight="1" s="33">
      <c r="A9" s="43" t="inlineStr">
        <is>
          <t>Điều kiện dừng tầng 'Bây giờ' có con số</t>
        </is>
      </c>
      <c r="B9" s="44">
        <f>IF(AND(LEN('3_Bảng lộ trình'!B12)&gt;10,SUMPRODUCT(--ISNUMBER(SEARCH({"0","1","2","3","4","5","6","7","8","9"},'3_Bảng lộ trình'!B12)))&gt;0),"Có","Chưa")</f>
        <v/>
      </c>
      <c r="C9" s="44">
        <f>IF(B9="Có","Đạt","Xem lại")</f>
        <v/>
      </c>
    </row>
    <row r="10" ht="15" customHeight="1" s="33">
      <c r="A10" s="43" t="inlineStr">
        <is>
          <t>Căn cứ kinh tế có con số (từ số liệu của đề)</t>
        </is>
      </c>
      <c r="B10" s="44">
        <f>IF(AND(LEN('3_Bảng lộ trình'!B11)&gt;10,SUMPRODUCT(--ISNUMBER(SEARCH({"0","1","2","3","4","5","6","7","8","9"},'3_Bảng lộ trình'!B11)))&gt;0),"Có","Chưa")</f>
        <v/>
      </c>
      <c r="C10" s="44">
        <f>IF(B10="Có","Đạt","Xem lại")</f>
        <v/>
      </c>
    </row>
    <row r="11" ht="15" customHeight="1" s="33">
      <c r="A11" s="43" t="inlineStr">
        <is>
          <t>Slide lãnh đạo: số ô đạt (đủ chữ, không quá 60 chữ; cần 5)</t>
        </is>
      </c>
      <c r="B11" s="44">
        <f>COUNTIF('5_Slide lãnh đạo'!D4:D8,"Đạt")</f>
        <v/>
      </c>
      <c r="C11" s="44">
        <f>IF(B11=5,"Đạt","Xem lại")</f>
        <v/>
      </c>
    </row>
    <row r="12" ht="15" customHeight="1" s="33">
      <c r="A12" s="43" t="inlineStr">
        <is>
          <t>Số mức tự động có biên lợi nhuận ≥ 60% (cần ≥ 1)</t>
        </is>
      </c>
      <c r="B12" s="44">
        <f>COUNTIF('2_Mức tự động'!L5:L8,"Đạt")</f>
        <v/>
      </c>
      <c r="C12" s="44">
        <f>IF(B12&gt;=1,"Đạt","Xem lại")</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32" min="1" max="1"/>
    <col width="30" customWidth="1" style="32" min="2" max="2"/>
    <col width="80" customWidth="1" style="32" min="3" max="3"/>
    <col width="40" customWidth="1" style="32" min="4" max="4"/>
  </cols>
  <sheetData>
    <row r="1" ht="17.25" customHeight="1" s="33">
      <c r="A1" s="34" t="inlineStr">
        <is>
          <t>7 · Thang điểm sản phẩm (100 điểm)</t>
        </is>
      </c>
    </row>
    <row r="2" ht="15" customHeight="1" s="33">
      <c r="A2" s="35" t="n"/>
    </row>
    <row r="4" ht="15" customHeight="1" s="33">
      <c r="A4" s="42" t="inlineStr">
        <is>
          <t>Tiêu chí</t>
        </is>
      </c>
      <c r="B4" s="42" t="inlineStr">
        <is>
          <t>Điểm</t>
        </is>
      </c>
      <c r="C4" s="42" t="inlineStr">
        <is>
          <t>Bài đạt khi</t>
        </is>
      </c>
      <c r="D4" s="42" t="inlineStr">
        <is>
          <t>Điểm nhóm</t>
        </is>
      </c>
    </row>
    <row r="5" ht="15" customHeight="1" s="33">
      <c r="A5" s="43" t="inlineStr">
        <is>
          <t>Theo kết quả và giả thuyết</t>
        </is>
      </c>
      <c r="B5" s="32" t="n">
        <v>20</v>
      </c>
      <c r="C5" s="59" t="inlineStr">
        <is>
          <t>Mỗi việc có giả thuyết, chỉ số và ngưỡng, không chỉ là tên tính năng</t>
        </is>
      </c>
      <c r="D5" s="60" t="n"/>
    </row>
    <row r="6" ht="15" customHeight="1" s="33">
      <c r="A6" s="43" t="inlineStr">
        <is>
          <t>Ưu tiên có căn cứ</t>
        </is>
      </c>
      <c r="B6" s="32" t="n">
        <v>20</v>
      </c>
      <c r="C6" s="59" t="inlineStr">
        <is>
          <t>Bảng điểm ≥ 5 việc; có sẵn sàng dữ liệu, đánh giá và rủi ro bị nuốt; dùng số liệu kinh tế của đề; đổi thứ tự hoặc bỏ việc thì ghi lý do</t>
        </is>
      </c>
      <c r="D6" s="60" t="n"/>
    </row>
    <row r="7" ht="15" customHeight="1" s="33">
      <c r="A7" s="43" t="inlineStr">
        <is>
          <t>Mức tự động và cổng đánh giá</t>
        </is>
      </c>
      <c r="B7" s="32" t="n">
        <v>25</v>
      </c>
      <c r="C7" s="59" t="inlineStr">
        <is>
          <t>≥ 2 mức có cổng bằng con số (chỉ số, ngưỡng, cỡ mẫu); có vai trò của người; có chi phí mỗi việc theo mức</t>
        </is>
      </c>
      <c r="D7" s="60" t="n"/>
    </row>
    <row r="8" ht="15" customHeight="1" s="33">
      <c r="A8" s="43" t="inlineStr">
        <is>
          <t>Điều kiện cần và rủi ro</t>
        </is>
      </c>
      <c r="B8" s="32" t="n">
        <v>15</v>
      </c>
      <c r="C8" s="59" t="inlineStr">
        <is>
          <t>Nêu dữ liệu, hạ tầng, tuân thủ; điều kiện dừng đo được với quy mô thử nghiệm; có lịch rà soát</t>
        </is>
      </c>
      <c r="D8" s="60" t="n"/>
    </row>
    <row r="9" ht="15" customHeight="1" s="33">
      <c r="A9" s="43" t="inlineStr">
        <is>
          <t>Slide lãnh đạo</t>
        </is>
      </c>
      <c r="B9" s="32" t="n">
        <v>20</v>
      </c>
      <c r="C9" s="59" t="inlineStr">
        <is>
          <t>Kết luận trước, ≤ 60 chữ mỗi ô, trả lời được "cần gì" và "khi nào xem lại"</t>
        </is>
      </c>
      <c r="D9" s="60" t="n"/>
    </row>
    <row r="10" ht="15" customHeight="1" s="33">
      <c r="A10" s="41" t="inlineStr">
        <is>
          <t>TỔNG</t>
        </is>
      </c>
      <c r="B10" s="32">
        <f>SUM(B5:B9)</f>
        <v/>
      </c>
      <c r="D10" s="44">
        <f>SUM(D5:D9)</f>
        <v/>
      </c>
    </row>
    <row r="12" ht="15" customHeight="1" s="33">
      <c r="A12" s="41" t="n"/>
      <c r="D12" s="60" t="n"/>
    </row>
    <row r="15" ht="15" customHeight="1" s="33">
      <c r="A15" s="61" t="inlineStr">
        <is>
          <t>THANG ĐIỂM TRÌNH BÀY (1–5 điểm mỗi tiêu chí)</t>
        </is>
      </c>
    </row>
    <row r="16" ht="15" customHeight="1" s="33">
      <c r="A16" s="42" t="inlineStr">
        <is>
          <t>Tiêu chí</t>
        </is>
      </c>
      <c r="B16" s="42" t="inlineStr">
        <is>
          <t>Mức 1</t>
        </is>
      </c>
      <c r="C16" s="42" t="inlineStr">
        <is>
          <t>Mức 3</t>
        </is>
      </c>
      <c r="D16" s="42" t="inlineStr">
        <is>
          <t>Mức 5</t>
        </is>
      </c>
    </row>
    <row r="17" ht="45.75" customHeight="1" s="33">
      <c r="A17" s="62" t="inlineStr">
        <is>
          <t>Rõ ràng</t>
        </is>
      </c>
      <c r="B17" s="63" t="inlineStr">
        <is>
          <t>Câu đầu chưa có kết luận; người nghe phải đoán nhóm làm gì trước</t>
        </is>
      </c>
      <c r="C17" s="63" t="inlineStr">
        <is>
          <t>Có kết luận nhưng nói sau phần mở đầu, hoặc thiếu mốc quyết định</t>
        </is>
      </c>
      <c r="D17" s="63" t="inlineStr">
        <is>
          <t>Câu đầu có việc làm trước, mục tiêu bằng số và ngày quyết định</t>
        </is>
      </c>
    </row>
    <row r="18" ht="45.75" customHeight="1" s="33">
      <c r="A18" s="62" t="inlineStr">
        <is>
          <t>Bằng chứng</t>
        </is>
      </c>
      <c r="B18" s="63" t="inlineStr">
        <is>
          <t>Không có cổng đánh giá, hoặc số không có nguồn</t>
        </is>
      </c>
      <c r="C18" s="63" t="inlineStr">
        <is>
          <t>Có cổng nhưng thiếu cỡ mẫu hoặc căn cứ kinh tế</t>
        </is>
      </c>
      <c r="D18" s="63" t="inlineStr">
        <is>
          <t>Cổng đủ chỉ số, ngưỡng, cỡ mẫu; căn cứ kinh tế lấy từ số liệu của đề</t>
        </is>
      </c>
    </row>
    <row r="19" ht="45.75" customHeight="1" s="33">
      <c r="A19" s="62" t="inlineStr">
        <is>
          <t>Trả lời phản biện</t>
        </is>
      </c>
      <c r="B19" s="63" t="inlineStr">
        <is>
          <t>Né câu hỏi hoặc trả lời chung chung</t>
        </is>
      </c>
      <c r="C19" s="63" t="inlineStr">
        <is>
          <t>Trả lời đúng ý nhưng không dẫn số</t>
        </is>
      </c>
      <c r="D19" s="63" t="inlineStr">
        <is>
          <t>Trả lời thẳng, dẫn đúng con số trong file</t>
        </is>
      </c>
    </row>
    <row r="20" ht="45.75" customHeight="1" s="33">
      <c r="A20" s="62" t="inlineStr">
        <is>
          <t>Đúng giờ</t>
        </is>
      </c>
      <c r="B20" s="63" t="inlineStr">
        <is>
          <t>Quá 4 phút</t>
        </is>
      </c>
      <c r="C20" s="63" t="inlineStr">
        <is>
          <t>Từ 3 đến 4 phút</t>
        </is>
      </c>
      <c r="D20" s="63" t="inlineStr">
        <is>
          <t>Không quá 3 phút</t>
        </is>
      </c>
    </row>
    <row r="22" ht="15" customHeight="1" s="33">
      <c r="A22" s="53" t="inlineStr">
        <is>
          <t>Mức 2 và 4 dùng khi bài nằm giữa hai mô tả. Bản chuẩn của buổi học không có phần trình bày trên lớp: điểm buổi = thang sản phẩm 100 điểm ở trên. Thang trình bày chỉ dùng khi giảng viên tổ chức trình bày.</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2026-10-04T05:24:07Z</dcterms:created>
  <dcterms:modified xmlns:dcterms="http://purl.org/dc/terms/" xmlns:xsi="http://www.w3.org/2001/XMLSchema-instance" xsi:type="dcterms:W3CDTF">2026-10-16T09:17:14Z</dcterms:modified>
  <cp:revision>0</cp:revision>
</cp:coreProperties>
</file>